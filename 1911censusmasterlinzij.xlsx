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BL" sheetId="2" r:id="rId5"/>
    <sheet name="PC" sheetId="3" r:id="rId6"/>
    <sheet name="WesternTerrace" sheetId="4" r:id="rId7"/>
    <sheet name="North Rd" sheetId="5" r:id="rId8"/>
    <sheet name="Lincoln Circus" sheetId="6" r:id="rId9"/>
    <sheet name="newcastlecircus" sheetId="7" r:id="rId10"/>
    <sheet name="Park Drive" sheetId="8" r:id="rId11"/>
    <sheet name="Peveril Drive" sheetId="9" r:id="rId12"/>
    <sheet name="lentonave-dan" sheetId="10" r:id="rId13"/>
    <sheet name="Clumber rd W dan" sheetId="11" r:id="rId14"/>
    <sheet name="maxtoke rd dan" sheetId="12" r:id="rId15"/>
    <sheet name="clumbercress dan" sheetId="13" r:id="rId16"/>
    <sheet name="Cav cresn" sheetId="14" r:id="rId17"/>
    <sheet name="southrd p 168" sheetId="15" r:id="rId18"/>
    <sheet name="Cavendish Cres S p182" sheetId="16" r:id="rId19"/>
    <sheet name="holles cres p202" sheetId="17" r:id="rId20"/>
    <sheet name="LentonRd p208" sheetId="18" r:id="rId21"/>
    <sheet name="Hermitage Walkp 256" sheetId="19" r:id="rId22"/>
    <sheet name="Kenilworthrd p 259" sheetId="20" r:id="rId23"/>
    <sheet name="fishpond drive p 286 418" sheetId="21" r:id="rId24"/>
    <sheet name="Hope Drive p.376" sheetId="22" r:id="rId25"/>
    <sheet name="comparison" sheetId="23" r:id="rId26"/>
    <sheet name="Personaloccupation" sheetId="24" r:id="rId27"/>
    <sheet name="template" sheetId="25" r:id="rId28"/>
  </sheets>
</workbook>
</file>

<file path=xl/sharedStrings.xml><?xml version="1.0" encoding="utf-8"?>
<sst xmlns="http://schemas.openxmlformats.org/spreadsheetml/2006/main" uniqueCount="2008">
  <si>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</si>
  <si>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</si>
  <si>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</si>
  <si>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</si>
  <si>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BL</t>
  </si>
  <si>
    <t>Table 1</t>
  </si>
  <si>
    <t>House ID</t>
  </si>
  <si>
    <t>House Name</t>
  </si>
  <si>
    <t>NO.</t>
  </si>
  <si>
    <t>Address</t>
  </si>
  <si>
    <t>Family</t>
  </si>
  <si>
    <t>Name</t>
  </si>
  <si>
    <t>W/M/G/B</t>
  </si>
  <si>
    <t>Relationship to Head of family</t>
  </si>
  <si>
    <t>Age</t>
  </si>
  <si>
    <t>Married/Single/Widow er</t>
  </si>
  <si>
    <t xml:space="preserve">Married yrs </t>
  </si>
  <si>
    <t>Children born</t>
  </si>
  <si>
    <t>children living</t>
  </si>
  <si>
    <t>Personal Occupation</t>
  </si>
  <si>
    <t>Industry</t>
  </si>
  <si>
    <t>Economic Participants</t>
  </si>
  <si>
    <t>Employer/worker</t>
  </si>
  <si>
    <t>Born</t>
  </si>
  <si>
    <t>W</t>
  </si>
  <si>
    <t>M</t>
  </si>
  <si>
    <t>G</t>
  </si>
  <si>
    <t>B</t>
  </si>
  <si>
    <t xml:space="preserve">HEAD women head </t>
  </si>
  <si>
    <t>WIFE</t>
  </si>
  <si>
    <t>daughter</t>
  </si>
  <si>
    <t>son</t>
  </si>
  <si>
    <t>Other</t>
  </si>
  <si>
    <t>Servant</t>
  </si>
  <si>
    <t>S</t>
  </si>
  <si>
    <t>Employer</t>
  </si>
  <si>
    <t>Worker</t>
  </si>
  <si>
    <t>Nottinghamshire</t>
  </si>
  <si>
    <t>BL1</t>
  </si>
  <si>
    <t>Barrack Lane</t>
  </si>
  <si>
    <t>Derry</t>
  </si>
  <si>
    <t>George</t>
  </si>
  <si>
    <t>Jobbing Gardener</t>
  </si>
  <si>
    <t>Sarah</t>
  </si>
  <si>
    <t>Leicester</t>
  </si>
  <si>
    <t>Warper</t>
  </si>
  <si>
    <t>Incandesent Mantle</t>
  </si>
  <si>
    <t>barrack Lane</t>
  </si>
  <si>
    <t>derry</t>
  </si>
  <si>
    <t>Elizabeth</t>
  </si>
  <si>
    <t>Domestic help</t>
  </si>
  <si>
    <t>Annie</t>
  </si>
  <si>
    <t>Tailoress (Seamstress)</t>
  </si>
  <si>
    <t>Mabel Sarah</t>
  </si>
  <si>
    <t>grand daugher</t>
  </si>
  <si>
    <t>-</t>
  </si>
  <si>
    <t>child</t>
  </si>
  <si>
    <t>BL2</t>
  </si>
  <si>
    <t>Barrack Yard</t>
  </si>
  <si>
    <t>Baker</t>
  </si>
  <si>
    <t>Smith</t>
  </si>
  <si>
    <t>Arthur William</t>
  </si>
  <si>
    <t>Son in law</t>
  </si>
  <si>
    <t>Cabinet maker</t>
  </si>
  <si>
    <t>House furnisher</t>
  </si>
  <si>
    <t>Elizabeth Ann</t>
  </si>
  <si>
    <t>BL3</t>
  </si>
  <si>
    <t>Blythe</t>
  </si>
  <si>
    <t>Joseph</t>
  </si>
  <si>
    <t>Sexton</t>
  </si>
  <si>
    <t>Parish Church</t>
  </si>
  <si>
    <t>Lincolnshire</t>
  </si>
  <si>
    <t>Yorkshire</t>
  </si>
  <si>
    <t>Marjorie</t>
  </si>
  <si>
    <t>Typist</t>
  </si>
  <si>
    <t>lace warehouse</t>
  </si>
  <si>
    <t>Kathleen</t>
  </si>
  <si>
    <t>School pupil</t>
  </si>
  <si>
    <t>Arthur</t>
  </si>
  <si>
    <t>Clerk</t>
  </si>
  <si>
    <t>Lace warehouse</t>
  </si>
  <si>
    <t>Bentley</t>
  </si>
  <si>
    <t>Ernest</t>
  </si>
  <si>
    <t>Boarder</t>
  </si>
  <si>
    <t>Fitter</t>
  </si>
  <si>
    <t>Machines</t>
  </si>
  <si>
    <t>BL4</t>
  </si>
  <si>
    <t>Hind</t>
  </si>
  <si>
    <t>Fletcher</t>
  </si>
  <si>
    <t>Coachman (domestic)</t>
  </si>
  <si>
    <t>Lace hand drawer finisher</t>
  </si>
  <si>
    <t>Edith Annie</t>
  </si>
  <si>
    <t>Machinist (Hosiery)</t>
  </si>
  <si>
    <t>total</t>
  </si>
  <si>
    <t xml:space="preserve">av women </t>
  </si>
  <si>
    <t>average age</t>
  </si>
  <si>
    <t xml:space="preserve">av </t>
  </si>
  <si>
    <t>Head</t>
  </si>
  <si>
    <t>av age woman</t>
  </si>
  <si>
    <t>Wife</t>
  </si>
  <si>
    <t>no occupation</t>
  </si>
  <si>
    <t>SON</t>
  </si>
  <si>
    <t>Daughter</t>
  </si>
  <si>
    <t>Grand daughter</t>
  </si>
  <si>
    <t>PC</t>
  </si>
  <si>
    <t>Married/Single/Widow/er</t>
  </si>
  <si>
    <t>SINGLE</t>
  </si>
  <si>
    <t>Widow/er</t>
  </si>
  <si>
    <t>Economic participants</t>
  </si>
  <si>
    <t>Note</t>
  </si>
  <si>
    <t>Households</t>
  </si>
  <si>
    <t>Population</t>
  </si>
  <si>
    <t xml:space="preserve">Family </t>
  </si>
  <si>
    <t>Servants</t>
  </si>
  <si>
    <t>Marital status - Married</t>
  </si>
  <si>
    <t>Marital status - Single</t>
  </si>
  <si>
    <t>Marital Status - Widow/er</t>
  </si>
  <si>
    <t>Place of birth - Nottingham</t>
  </si>
  <si>
    <t>Place of birth - Oher</t>
  </si>
  <si>
    <t>largest household</t>
  </si>
  <si>
    <t>smallest household</t>
  </si>
  <si>
    <t>If &lt;15=child</t>
  </si>
  <si>
    <t>Married woman</t>
  </si>
  <si>
    <t>SINGLE woman</t>
  </si>
  <si>
    <t>Widow er</t>
  </si>
  <si>
    <t>worker</t>
  </si>
  <si>
    <t>PC1</t>
  </si>
  <si>
    <t>Pelham Crescent</t>
  </si>
  <si>
    <t>Read</t>
  </si>
  <si>
    <t>Herbert Wlliam</t>
  </si>
  <si>
    <t>Retired (was coachbuilder)</t>
  </si>
  <si>
    <t>Ada Maud</t>
  </si>
  <si>
    <t>No occupation</t>
  </si>
  <si>
    <t>Handon</t>
  </si>
  <si>
    <t>Maggie</t>
  </si>
  <si>
    <t>Housemaid (domestic servant)</t>
  </si>
  <si>
    <t>Shephard</t>
  </si>
  <si>
    <t>Florece</t>
  </si>
  <si>
    <t>General servant</t>
  </si>
  <si>
    <t>Wolverhampton</t>
  </si>
  <si>
    <t>PC2</t>
  </si>
  <si>
    <t>Laing</t>
  </si>
  <si>
    <t>George Dawson</t>
  </si>
  <si>
    <t>Wine &amp; Spirit Merchant</t>
  </si>
  <si>
    <t>Birmingham</t>
  </si>
  <si>
    <t>Blanche Viola</t>
  </si>
  <si>
    <t>London</t>
  </si>
  <si>
    <t>John Posvenor</t>
  </si>
  <si>
    <t>John Lysanda</t>
  </si>
  <si>
    <t>brother</t>
  </si>
  <si>
    <t>wine &amp; Spirit Merchant</t>
  </si>
  <si>
    <t>Sussex</t>
  </si>
  <si>
    <t>Visitor from NZ</t>
  </si>
  <si>
    <t>Hill</t>
  </si>
  <si>
    <t>Mary Ann</t>
  </si>
  <si>
    <t>Retired (was Nurse)</t>
  </si>
  <si>
    <t>Devon</t>
  </si>
  <si>
    <t>Pensioner</t>
  </si>
  <si>
    <t>Ruth Mary</t>
  </si>
  <si>
    <t>Cook</t>
  </si>
  <si>
    <t>Wright</t>
  </si>
  <si>
    <t>Clara</t>
  </si>
  <si>
    <t>Housemaid</t>
  </si>
  <si>
    <t>Lander</t>
  </si>
  <si>
    <t>Sarah Ann</t>
  </si>
  <si>
    <t>Parlourmaid</t>
  </si>
  <si>
    <t>Derbyshire</t>
  </si>
  <si>
    <t>PC3</t>
  </si>
  <si>
    <t>pelham Crescent</t>
  </si>
  <si>
    <t>Thorpe</t>
  </si>
  <si>
    <t>Kate</t>
  </si>
  <si>
    <t>Private Means</t>
  </si>
  <si>
    <t>Belfast</t>
  </si>
  <si>
    <t>Saville</t>
  </si>
  <si>
    <t>Eliza Helena</t>
  </si>
  <si>
    <t>sister</t>
  </si>
  <si>
    <t>Parkin</t>
  </si>
  <si>
    <t>Maud</t>
  </si>
  <si>
    <t>Domestic</t>
  </si>
  <si>
    <t>Winsor</t>
  </si>
  <si>
    <t>Temporary Help</t>
  </si>
  <si>
    <t>Northants</t>
  </si>
  <si>
    <t>PC4</t>
  </si>
  <si>
    <t>Flersheim</t>
  </si>
  <si>
    <t>Gustav Albert</t>
  </si>
  <si>
    <t>Director</t>
  </si>
  <si>
    <t xml:space="preserve">lace curtain manuf </t>
  </si>
  <si>
    <t>Germany</t>
  </si>
  <si>
    <t>Caroline Hannah</t>
  </si>
  <si>
    <t>Katherine Mary Monica</t>
  </si>
  <si>
    <t>Wildbore</t>
  </si>
  <si>
    <t>cook</t>
  </si>
  <si>
    <t>Mathews</t>
  </si>
  <si>
    <t>Amy</t>
  </si>
  <si>
    <t>housemaid</t>
  </si>
  <si>
    <t>Halatschek</t>
  </si>
  <si>
    <t>Maria</t>
  </si>
  <si>
    <t>Governess</t>
  </si>
  <si>
    <t>PC5</t>
  </si>
  <si>
    <t>Kohn</t>
  </si>
  <si>
    <t>Recha</t>
  </si>
  <si>
    <t>Whistler</t>
  </si>
  <si>
    <t>Alice</t>
  </si>
  <si>
    <t>Hutchinson</t>
  </si>
  <si>
    <t>Hannah</t>
  </si>
  <si>
    <t>worceshire</t>
  </si>
  <si>
    <t>PC6</t>
  </si>
  <si>
    <t>Adams</t>
  </si>
  <si>
    <t>Catherine Lucy</t>
  </si>
  <si>
    <t>note that women who employed servants are not counted as employers</t>
  </si>
  <si>
    <t>Martin</t>
  </si>
  <si>
    <t>Emma Elizabeth</t>
  </si>
  <si>
    <t>Else</t>
  </si>
  <si>
    <t>Francis Gertrude</t>
  </si>
  <si>
    <t>Stope</t>
  </si>
  <si>
    <t>Sarah Annie</t>
  </si>
  <si>
    <t>PC7</t>
  </si>
  <si>
    <t>No entry</t>
  </si>
  <si>
    <t>PC8</t>
  </si>
  <si>
    <t>Kathinka Elizabeth</t>
  </si>
  <si>
    <t>North</t>
  </si>
  <si>
    <t>Slater</t>
  </si>
  <si>
    <t>PC9</t>
  </si>
  <si>
    <t>Lewis</t>
  </si>
  <si>
    <t>Anna Rebekah</t>
  </si>
  <si>
    <t>Leicestershire</t>
  </si>
  <si>
    <t>Fanny G</t>
  </si>
  <si>
    <t>Arthur B</t>
  </si>
  <si>
    <t>Hosiery manuf</t>
  </si>
  <si>
    <t>Carrington</t>
  </si>
  <si>
    <t>Hester</t>
  </si>
  <si>
    <t>Domestic servant</t>
  </si>
  <si>
    <t>Glos</t>
  </si>
  <si>
    <t>Clarke</t>
  </si>
  <si>
    <t>Martha</t>
  </si>
  <si>
    <t>PC10</t>
  </si>
  <si>
    <t>Note a Mr Meyer signed off census</t>
  </si>
  <si>
    <t>Radford</t>
  </si>
  <si>
    <t>William Edward</t>
  </si>
  <si>
    <t>Coachman domestic</t>
  </si>
  <si>
    <t>Leics</t>
  </si>
  <si>
    <t>Emma</t>
  </si>
  <si>
    <t>Housekeeper Domestic</t>
  </si>
  <si>
    <t>Hilda May</t>
  </si>
  <si>
    <t>Blouse hand</t>
  </si>
  <si>
    <t>Winnifred Annie</t>
  </si>
  <si>
    <t>School</t>
  </si>
  <si>
    <t>Matthews</t>
  </si>
  <si>
    <t>Emily</t>
  </si>
  <si>
    <t>PC11</t>
  </si>
  <si>
    <t>Mellers</t>
  </si>
  <si>
    <t>Robert</t>
  </si>
  <si>
    <t>Chartered Accountant</t>
  </si>
  <si>
    <t>Mary Elizabeth</t>
  </si>
  <si>
    <t>Caims</t>
  </si>
  <si>
    <t>Robert Gallard</t>
  </si>
  <si>
    <t>grandson</t>
  </si>
  <si>
    <t>USA</t>
  </si>
  <si>
    <t>Marjorie M</t>
  </si>
  <si>
    <t>granddaughter</t>
  </si>
  <si>
    <t>Mary</t>
  </si>
  <si>
    <t>Beregen</t>
  </si>
  <si>
    <t>Charwoman</t>
  </si>
  <si>
    <t>PC12</t>
  </si>
  <si>
    <t>Levi</t>
  </si>
  <si>
    <t>Lace manuf</t>
  </si>
  <si>
    <t>Julia</t>
  </si>
  <si>
    <t>Lucy</t>
  </si>
  <si>
    <t>Hermann</t>
  </si>
  <si>
    <t>Matilde</t>
  </si>
  <si>
    <t>General servant (domestic)</t>
  </si>
  <si>
    <t>Holton</t>
  </si>
  <si>
    <t>Olive</t>
  </si>
  <si>
    <t>PC13</t>
  </si>
  <si>
    <t>Mann</t>
  </si>
  <si>
    <t>Nellie Annie</t>
  </si>
  <si>
    <t>Thomas Hugh</t>
  </si>
  <si>
    <t>Chemist assistant</t>
  </si>
  <si>
    <t>retail</t>
  </si>
  <si>
    <t>PC14</t>
  </si>
  <si>
    <t>Shaw</t>
  </si>
  <si>
    <t>Harriet</t>
  </si>
  <si>
    <t>Breedon</t>
  </si>
  <si>
    <t>Buckingham</t>
  </si>
  <si>
    <t>Ada</t>
  </si>
  <si>
    <t>TOTAL</t>
  </si>
  <si>
    <t>Should = 62</t>
  </si>
  <si>
    <t>ALL</t>
  </si>
  <si>
    <t>adults</t>
  </si>
  <si>
    <t>applies only to women married but not widows and sometimes widows have inputted data</t>
  </si>
  <si>
    <t>note women have servants are not counted as employers even if widows</t>
  </si>
  <si>
    <t>other Germany</t>
  </si>
  <si>
    <t>6 widows + 1 single</t>
  </si>
  <si>
    <t>Adults</t>
  </si>
  <si>
    <t>ie only men are employers and that refers to their outside work</t>
  </si>
  <si>
    <t>all servants are women</t>
  </si>
  <si>
    <t>all houses have at least one servant</t>
  </si>
  <si>
    <t>WesternTerrace</t>
  </si>
  <si>
    <t>WT1</t>
  </si>
  <si>
    <t>Western Terrace</t>
  </si>
  <si>
    <t>Bradley</t>
  </si>
  <si>
    <t>Frederick James</t>
  </si>
  <si>
    <t>Director of Lt Leicester works</t>
  </si>
  <si>
    <t>Emily Margaret</t>
  </si>
  <si>
    <t>Glam</t>
  </si>
  <si>
    <t>Gladys Margaret</t>
  </si>
  <si>
    <t>Teacher of children</t>
  </si>
  <si>
    <t>James</t>
  </si>
  <si>
    <t>Glous</t>
  </si>
  <si>
    <t>Diss</t>
  </si>
  <si>
    <t>Sarah Jane</t>
  </si>
  <si>
    <t>Borbrid</t>
  </si>
  <si>
    <t>Mabel Alice</t>
  </si>
  <si>
    <t>WT2</t>
  </si>
  <si>
    <t>Alfred Harriman</t>
  </si>
  <si>
    <t>Lace Manuf</t>
  </si>
  <si>
    <t>Annie Maria</t>
  </si>
  <si>
    <t>Alfred Cecil</t>
  </si>
  <si>
    <t>assisting in the business</t>
  </si>
  <si>
    <t>Gerald</t>
  </si>
  <si>
    <t>Hebb</t>
  </si>
  <si>
    <t>Gertrude Annie</t>
  </si>
  <si>
    <t>domestic</t>
  </si>
  <si>
    <t>Hatherley</t>
  </si>
  <si>
    <t>lincolnshire</t>
  </si>
  <si>
    <t>Wilson</t>
  </si>
  <si>
    <t>Edith</t>
  </si>
  <si>
    <t>WT3</t>
  </si>
  <si>
    <t>Charles Henry</t>
  </si>
  <si>
    <t>Ellen Maria</t>
  </si>
  <si>
    <t>Bartle</t>
  </si>
  <si>
    <t>Louie</t>
  </si>
  <si>
    <t>Phillips</t>
  </si>
  <si>
    <t>Elizabeth Mary</t>
  </si>
  <si>
    <t>WT4</t>
  </si>
  <si>
    <t>Lincoln Villa</t>
  </si>
  <si>
    <t>Bright</t>
  </si>
  <si>
    <t>Solicitor</t>
  </si>
  <si>
    <t>Signed Sir J Bright</t>
  </si>
  <si>
    <t>Horace Dickinson</t>
  </si>
  <si>
    <t>Josephine Agnes</t>
  </si>
  <si>
    <t>Beatrice Eveline</t>
  </si>
  <si>
    <t>Alfred Stanley</t>
  </si>
  <si>
    <t>Frank Arnold</t>
  </si>
  <si>
    <t>Mechanical Engineer</t>
  </si>
  <si>
    <t>Tobacco factory</t>
  </si>
  <si>
    <t>Davis</t>
  </si>
  <si>
    <t>Sick Nurse (own means)</t>
  </si>
  <si>
    <t>Middx</t>
  </si>
  <si>
    <t>Wareham</t>
  </si>
  <si>
    <t xml:space="preserve">Elizabeth </t>
  </si>
  <si>
    <t>?</t>
  </si>
  <si>
    <t>Porteous</t>
  </si>
  <si>
    <t>Frost</t>
  </si>
  <si>
    <t>Inskip</t>
  </si>
  <si>
    <t xml:space="preserve">Kitchenmaid </t>
  </si>
  <si>
    <t>Somercotes</t>
  </si>
  <si>
    <t>North Rd</t>
  </si>
  <si>
    <t xml:space="preserve">Street/Occupation </t>
  </si>
  <si>
    <t>Park Keeper</t>
  </si>
  <si>
    <t>Manager</t>
  </si>
  <si>
    <t>Valuer</t>
  </si>
  <si>
    <t>Accountant</t>
  </si>
  <si>
    <t>Blousehand</t>
  </si>
  <si>
    <t>Clergy</t>
  </si>
  <si>
    <t>Coachman</t>
  </si>
  <si>
    <t>Domestic help (other than servant)</t>
  </si>
  <si>
    <t>Gardener</t>
  </si>
  <si>
    <t>Lacehand drawer finisher</t>
  </si>
  <si>
    <t>Machinist</t>
  </si>
  <si>
    <t>Manufacturer</t>
  </si>
  <si>
    <t>Merchant</t>
  </si>
  <si>
    <t>Retired</t>
  </si>
  <si>
    <t>NR1</t>
  </si>
  <si>
    <t>Gate House</t>
  </si>
  <si>
    <t>Hallam</t>
  </si>
  <si>
    <t>Thomas</t>
  </si>
  <si>
    <t>Cheshire</t>
  </si>
  <si>
    <t>NR2</t>
  </si>
  <si>
    <t>North Lodge</t>
  </si>
  <si>
    <t>Huskinson</t>
  </si>
  <si>
    <t>Percy</t>
  </si>
  <si>
    <t>moston factory</t>
  </si>
  <si>
    <t>Muriel</t>
  </si>
  <si>
    <t>Geoffrey</t>
  </si>
  <si>
    <t>Leonard</t>
  </si>
  <si>
    <t>Brother</t>
  </si>
  <si>
    <t>valuer</t>
  </si>
  <si>
    <t>inland revenue</t>
  </si>
  <si>
    <t>Bertha</t>
  </si>
  <si>
    <t>derbyshire</t>
  </si>
  <si>
    <t>Ormston</t>
  </si>
  <si>
    <t>Francis</t>
  </si>
  <si>
    <t>Yareham</t>
  </si>
  <si>
    <t>Anne</t>
  </si>
  <si>
    <t>parlourmaid</t>
  </si>
  <si>
    <t>Lincoln Circus</t>
  </si>
  <si>
    <t>LC1</t>
  </si>
  <si>
    <t>Tune</t>
  </si>
  <si>
    <t>Annie Elizabeth</t>
  </si>
  <si>
    <t>Lincs</t>
  </si>
  <si>
    <t>Alice Ada</t>
  </si>
  <si>
    <t>Herts</t>
  </si>
  <si>
    <t>Swaly</t>
  </si>
  <si>
    <t>Florence</t>
  </si>
  <si>
    <t>LC2</t>
  </si>
  <si>
    <t>The Cottage</t>
  </si>
  <si>
    <t>Palmer</t>
  </si>
  <si>
    <t>Edward</t>
  </si>
  <si>
    <t>Clackmannanshire</t>
  </si>
  <si>
    <t>Telephone Mechanic</t>
  </si>
  <si>
    <t>Nat Telephone</t>
  </si>
  <si>
    <t>Charles Harry</t>
  </si>
  <si>
    <t>Bookeeper</t>
  </si>
  <si>
    <t>Printing</t>
  </si>
  <si>
    <t>Alfred Ernest</t>
  </si>
  <si>
    <t>George Albert</t>
  </si>
  <si>
    <t>Warehouse Apprentice</t>
  </si>
  <si>
    <t>Lace</t>
  </si>
  <si>
    <t>Mary Helena</t>
  </si>
  <si>
    <t>Student Governess</t>
  </si>
  <si>
    <t>newcastlecircus</t>
  </si>
  <si>
    <t xml:space="preserve">Other </t>
  </si>
  <si>
    <t>NC1</t>
  </si>
  <si>
    <t xml:space="preserve">Elm </t>
  </si>
  <si>
    <t>Birkin</t>
  </si>
  <si>
    <t>Charles Milfred</t>
  </si>
  <si>
    <t>member of family is cook</t>
  </si>
  <si>
    <t>Ellis</t>
  </si>
  <si>
    <t>Staffs</t>
  </si>
  <si>
    <t>Castledine</t>
  </si>
  <si>
    <t>Gertrude Jessee</t>
  </si>
  <si>
    <t>Parlour maid</t>
  </si>
  <si>
    <t>Cyre</t>
  </si>
  <si>
    <t>Julia Hannah</t>
  </si>
  <si>
    <t>Derby</t>
  </si>
  <si>
    <t>Walker</t>
  </si>
  <si>
    <t>Kentler</t>
  </si>
  <si>
    <t>kitchenmaid</t>
  </si>
  <si>
    <t>Riley</t>
  </si>
  <si>
    <t>Rupert</t>
  </si>
  <si>
    <t>visitor</t>
  </si>
  <si>
    <t>Army capt</t>
  </si>
  <si>
    <t>NC2</t>
  </si>
  <si>
    <t>Burton</t>
  </si>
  <si>
    <t>Ladies Comp</t>
  </si>
  <si>
    <t>leics</t>
  </si>
  <si>
    <t>Ward</t>
  </si>
  <si>
    <t>Burnett</t>
  </si>
  <si>
    <t>lincs</t>
  </si>
  <si>
    <t>Ruff</t>
  </si>
  <si>
    <t>Louisa</t>
  </si>
  <si>
    <t>Hemsley</t>
  </si>
  <si>
    <t>Stanley</t>
  </si>
  <si>
    <t>Watson</t>
  </si>
  <si>
    <t>Elizabeth A</t>
  </si>
  <si>
    <t>Private means</t>
  </si>
  <si>
    <t>born The Park</t>
  </si>
  <si>
    <t>NC3</t>
  </si>
  <si>
    <t>Castlethorpe</t>
  </si>
  <si>
    <t>Lancashire</t>
  </si>
  <si>
    <t>hosiery manuf</t>
  </si>
  <si>
    <t>Taylor</t>
  </si>
  <si>
    <t>Helen</t>
  </si>
  <si>
    <t>Edith Joan</t>
  </si>
  <si>
    <t>niece</t>
  </si>
  <si>
    <t>Recordon</t>
  </si>
  <si>
    <t>Nellie Lucie</t>
  </si>
  <si>
    <t>governess</t>
  </si>
  <si>
    <t>Switzerland</t>
  </si>
  <si>
    <t>Janes</t>
  </si>
  <si>
    <t>Sabina</t>
  </si>
  <si>
    <t>Bucks</t>
  </si>
  <si>
    <t>Curtis</t>
  </si>
  <si>
    <t>Lily</t>
  </si>
  <si>
    <t>NC4</t>
  </si>
  <si>
    <t>Goddard</t>
  </si>
  <si>
    <t>H Ernest</t>
  </si>
  <si>
    <t>Dental surgeon</t>
  </si>
  <si>
    <t>Jacklin</t>
  </si>
  <si>
    <t>Mildred</t>
  </si>
  <si>
    <t>Domestic Serv</t>
  </si>
  <si>
    <t>Bennett</t>
  </si>
  <si>
    <t>Sharman</t>
  </si>
  <si>
    <t>Rosa Ella</t>
  </si>
  <si>
    <t>Park Drive</t>
  </si>
  <si>
    <t>Other shire</t>
  </si>
  <si>
    <t>PD1</t>
  </si>
  <si>
    <t>Homberger</t>
  </si>
  <si>
    <t>Otto</t>
  </si>
  <si>
    <t>Kate A</t>
  </si>
  <si>
    <t>Ganderton</t>
  </si>
  <si>
    <t>Nellie</t>
  </si>
  <si>
    <t>Pittaway</t>
  </si>
  <si>
    <t>Jones</t>
  </si>
  <si>
    <t>Pulford</t>
  </si>
  <si>
    <t>Edna</t>
  </si>
  <si>
    <t>Kitchenmaid</t>
  </si>
  <si>
    <t>PD2</t>
  </si>
  <si>
    <t xml:space="preserve">Clumber </t>
  </si>
  <si>
    <t>Gregory</t>
  </si>
  <si>
    <t>William Godfrey</t>
  </si>
  <si>
    <t>Plain &amp; Spot Net Manuf</t>
  </si>
  <si>
    <t>Charles Arthur</t>
  </si>
  <si>
    <t>Ellen Augusta</t>
  </si>
  <si>
    <t>Marler</t>
  </si>
  <si>
    <t>Gladys Eslie</t>
  </si>
  <si>
    <t>General serv</t>
  </si>
  <si>
    <t>Wildmore</t>
  </si>
  <si>
    <t>Maud Mary</t>
  </si>
  <si>
    <t>Wilkinson</t>
  </si>
  <si>
    <t>Sarah Elizabeth</t>
  </si>
  <si>
    <t>PD3</t>
  </si>
  <si>
    <t>Henry James</t>
  </si>
  <si>
    <t>Phebe</t>
  </si>
  <si>
    <t>derby</t>
  </si>
  <si>
    <t>Phebe Agnes Marjorie</t>
  </si>
  <si>
    <t>scholar</t>
  </si>
  <si>
    <t>the park</t>
  </si>
  <si>
    <t>Knott</t>
  </si>
  <si>
    <t>Daisy</t>
  </si>
  <si>
    <t>Cluer</t>
  </si>
  <si>
    <t>Gertrude Rebecca</t>
  </si>
  <si>
    <t>PD4</t>
  </si>
  <si>
    <t>Wynn Humphries</t>
  </si>
  <si>
    <t>Official receiver in bank</t>
  </si>
  <si>
    <t>bank of trade</t>
  </si>
  <si>
    <t>manc</t>
  </si>
  <si>
    <t>status of emp /worker empty</t>
  </si>
  <si>
    <t>Brown</t>
  </si>
  <si>
    <t>domestic servant</t>
  </si>
  <si>
    <t>Peveril Drive</t>
  </si>
  <si>
    <t>PeD1</t>
  </si>
  <si>
    <t>Turpin</t>
  </si>
  <si>
    <t>John</t>
  </si>
  <si>
    <t>Provision Manuf</t>
  </si>
  <si>
    <t>Wholesale Retail</t>
  </si>
  <si>
    <t>Isabella</t>
  </si>
  <si>
    <t>Kirkcudshire</t>
  </si>
  <si>
    <t>Heneyer</t>
  </si>
  <si>
    <t>Colliery &amp; mill furnisher</t>
  </si>
  <si>
    <t>Blouse Manu</t>
  </si>
  <si>
    <t>Janet Kathleen</t>
  </si>
  <si>
    <t>Charles Hugh Kerney</t>
  </si>
  <si>
    <t>Scholar</t>
  </si>
  <si>
    <t>Cowlishow</t>
  </si>
  <si>
    <t>Helen Ivy</t>
  </si>
  <si>
    <t>General Servant</t>
  </si>
  <si>
    <t>PeD2</t>
  </si>
  <si>
    <t>Ivanhoe Lodge</t>
  </si>
  <si>
    <t>Henry</t>
  </si>
  <si>
    <t>General printer ^ account bk maker</t>
  </si>
  <si>
    <t>Jessie Ann</t>
  </si>
  <si>
    <t>Liverpool</t>
  </si>
  <si>
    <t>Hilda Mary</t>
  </si>
  <si>
    <t>Ida Marie</t>
  </si>
  <si>
    <t>Tonks</t>
  </si>
  <si>
    <t>lady's companion</t>
  </si>
  <si>
    <t>Shreewbury</t>
  </si>
  <si>
    <t>Have put as worker but was not entered on census</t>
  </si>
  <si>
    <t>PeD3</t>
  </si>
  <si>
    <t>Park Dale</t>
  </si>
  <si>
    <t>Woodward</t>
  </si>
  <si>
    <t>Sydney</t>
  </si>
  <si>
    <t>Lace Manu</t>
  </si>
  <si>
    <t>Frank Woodward Co. Ltd</t>
  </si>
  <si>
    <t>Margaret</t>
  </si>
  <si>
    <t>woodward</t>
  </si>
  <si>
    <t>Evelyn</t>
  </si>
  <si>
    <t>Cole</t>
  </si>
  <si>
    <t>Ruth</t>
  </si>
  <si>
    <t>northants</t>
  </si>
  <si>
    <t>Barker</t>
  </si>
  <si>
    <t>Mabel</t>
  </si>
  <si>
    <t>Galpin</t>
  </si>
  <si>
    <t>Hilda</t>
  </si>
  <si>
    <t>Nurse</t>
  </si>
  <si>
    <t>PeD4</t>
  </si>
  <si>
    <t>Dudley Lodge</t>
  </si>
  <si>
    <t>Spalding</t>
  </si>
  <si>
    <t>William Arthur</t>
  </si>
  <si>
    <t>Draper</t>
  </si>
  <si>
    <t>Lilian Alice</t>
  </si>
  <si>
    <t>Rogers</t>
  </si>
  <si>
    <t>Florence Agnes</t>
  </si>
  <si>
    <t>PeD5</t>
  </si>
  <si>
    <t>Harlech</t>
  </si>
  <si>
    <t>Goodliffe</t>
  </si>
  <si>
    <t>Johanne</t>
  </si>
  <si>
    <t>private means</t>
  </si>
  <si>
    <t>Barfield</t>
  </si>
  <si>
    <t>Rutland</t>
  </si>
  <si>
    <t>Mary Rosina</t>
  </si>
  <si>
    <t>PeD6</t>
  </si>
  <si>
    <t>Easdale</t>
  </si>
  <si>
    <t>Polley</t>
  </si>
  <si>
    <t>Edwin</t>
  </si>
  <si>
    <t>Cold Storage</t>
  </si>
  <si>
    <t>Janey</t>
  </si>
  <si>
    <t>Jackson</t>
  </si>
  <si>
    <t>not entered</t>
  </si>
  <si>
    <t>Warwicks</t>
  </si>
  <si>
    <t>PeD7</t>
  </si>
  <si>
    <t>Castle Rock</t>
  </si>
  <si>
    <t>Lloyd</t>
  </si>
  <si>
    <t>Edward Evans</t>
  </si>
  <si>
    <t>Lead Mauf agent</t>
  </si>
  <si>
    <t>Lancs</t>
  </si>
  <si>
    <t>Hannah Stanger</t>
  </si>
  <si>
    <t>Gill</t>
  </si>
  <si>
    <t>Ida Maud</t>
  </si>
  <si>
    <t>PeD8</t>
  </si>
  <si>
    <t>Christopher</t>
  </si>
  <si>
    <t>Tailor &amp; Clothier</t>
  </si>
  <si>
    <t>Suffolk</t>
  </si>
  <si>
    <t>Robert Godfrey</t>
  </si>
  <si>
    <t>Clothiers assist</t>
  </si>
  <si>
    <t>Ivy Kathleen Rose</t>
  </si>
  <si>
    <t>Emilie Doreen</t>
  </si>
  <si>
    <t>PeD9</t>
  </si>
  <si>
    <t>Holgate</t>
  </si>
  <si>
    <t>Anne Maria</t>
  </si>
  <si>
    <t>Yorks</t>
  </si>
  <si>
    <t>Ernest William</t>
  </si>
  <si>
    <t>Engineering student</t>
  </si>
  <si>
    <t>Muriel Ellen</t>
  </si>
  <si>
    <t>Hird</t>
  </si>
  <si>
    <t>PeD10</t>
  </si>
  <si>
    <t>Cowen</t>
  </si>
  <si>
    <t>Edward Samuel</t>
  </si>
  <si>
    <t>Iron founder Engineer Boiler Maker</t>
  </si>
  <si>
    <t xml:space="preserve">Hannah </t>
  </si>
  <si>
    <t>Clark</t>
  </si>
  <si>
    <t>PeD11</t>
  </si>
  <si>
    <t>Lamb</t>
  </si>
  <si>
    <t>County surveyors assist</t>
  </si>
  <si>
    <t>NCC</t>
  </si>
  <si>
    <t>Gertrude Hannah</t>
  </si>
  <si>
    <t>Henry Seymour</t>
  </si>
  <si>
    <t>Ruth Gertrude</t>
  </si>
  <si>
    <t>Edgar John</t>
  </si>
  <si>
    <t>Max William</t>
  </si>
  <si>
    <t>Charles Harrison</t>
  </si>
  <si>
    <t>8 mths</t>
  </si>
  <si>
    <t>Ludlam</t>
  </si>
  <si>
    <t>Gertrude</t>
  </si>
  <si>
    <t>lentonave-dan</t>
  </si>
  <si>
    <t>Belongs to House</t>
  </si>
  <si>
    <t>Plot No</t>
  </si>
  <si>
    <t>Woman</t>
  </si>
  <si>
    <t>Man</t>
  </si>
  <si>
    <t>Girl</t>
  </si>
  <si>
    <t>Boy</t>
  </si>
  <si>
    <t>Head of family</t>
  </si>
  <si>
    <t>Son</t>
  </si>
  <si>
    <t>Year of Birth</t>
  </si>
  <si>
    <t>Married</t>
  </si>
  <si>
    <t>Years Married</t>
  </si>
  <si>
    <t>Born Nottinghamshire</t>
  </si>
  <si>
    <t>Born Other</t>
  </si>
  <si>
    <t>Birth County</t>
  </si>
  <si>
    <t>Place Town</t>
  </si>
  <si>
    <t>Coach House</t>
  </si>
  <si>
    <t xml:space="preserve">FEMALE HEAD  </t>
  </si>
  <si>
    <t>Widow</t>
  </si>
  <si>
    <t>LA1</t>
  </si>
  <si>
    <t>Newlands</t>
  </si>
  <si>
    <t>Lenton Avenue</t>
  </si>
  <si>
    <t>Wadsworth</t>
  </si>
  <si>
    <t>Frederic</t>
  </si>
  <si>
    <t>Legal</t>
  </si>
  <si>
    <t>Nottingham</t>
  </si>
  <si>
    <t>Mary Lois</t>
  </si>
  <si>
    <t>Wilford</t>
  </si>
  <si>
    <t>Alice Sophia</t>
  </si>
  <si>
    <t>Serving Maid</t>
  </si>
  <si>
    <t>Scalford</t>
  </si>
  <si>
    <t>Webb</t>
  </si>
  <si>
    <t>Gedney</t>
  </si>
  <si>
    <t>Lacey</t>
  </si>
  <si>
    <t>Mary Ellen</t>
  </si>
  <si>
    <t>Norton Disney</t>
  </si>
  <si>
    <t>LA2</t>
  </si>
  <si>
    <t>Greylands</t>
  </si>
  <si>
    <t>Lancaster</t>
  </si>
  <si>
    <t>Altringham</t>
  </si>
  <si>
    <t>Ethel</t>
  </si>
  <si>
    <t>Sherwood</t>
  </si>
  <si>
    <t>Gerald William</t>
  </si>
  <si>
    <t>Mining Engineer</t>
  </si>
  <si>
    <t>Mining</t>
  </si>
  <si>
    <t>Patricroft</t>
  </si>
  <si>
    <t>Harrison</t>
  </si>
  <si>
    <t>Rachael</t>
  </si>
  <si>
    <t>Nuthall</t>
  </si>
  <si>
    <t>Baylies</t>
  </si>
  <si>
    <t>Rose</t>
  </si>
  <si>
    <t>Warwickshire</t>
  </si>
  <si>
    <t>Churchover</t>
  </si>
  <si>
    <t>LA3</t>
  </si>
  <si>
    <t>Glenthorpe</t>
  </si>
  <si>
    <t>Sampson</t>
  </si>
  <si>
    <t>Walter</t>
  </si>
  <si>
    <t>Lace Manufacturer</t>
  </si>
  <si>
    <t>Lenton</t>
  </si>
  <si>
    <t xml:space="preserve">Dupart, </t>
  </si>
  <si>
    <t>Albert</t>
  </si>
  <si>
    <t>Lace Merchant</t>
  </si>
  <si>
    <t>Peray</t>
  </si>
  <si>
    <t>Flora</t>
  </si>
  <si>
    <t>Effie</t>
  </si>
  <si>
    <t xml:space="preserve">Domestic </t>
  </si>
  <si>
    <t>Girton</t>
  </si>
  <si>
    <t>Agnes</t>
  </si>
  <si>
    <t>South Normanton</t>
  </si>
  <si>
    <t>Bradshaw</t>
  </si>
  <si>
    <t>Riddings</t>
  </si>
  <si>
    <t>LA4</t>
  </si>
  <si>
    <t>Hauson</t>
  </si>
  <si>
    <t>Kimberley</t>
  </si>
  <si>
    <t>Marion</t>
  </si>
  <si>
    <t>Middlesex</t>
  </si>
  <si>
    <t>Marylebone</t>
  </si>
  <si>
    <t>Charles Claridge</t>
  </si>
  <si>
    <t>Southwell,</t>
  </si>
  <si>
    <t>Henry Norman</t>
  </si>
  <si>
    <t>Green</t>
  </si>
  <si>
    <t>Maud Hannah</t>
  </si>
  <si>
    <t>Essex</t>
  </si>
  <si>
    <t>Dudgeon</t>
  </si>
  <si>
    <t>Staffordhsire</t>
  </si>
  <si>
    <t>Burton upon Trent</t>
  </si>
  <si>
    <t>LA5</t>
  </si>
  <si>
    <t>Arlington House</t>
  </si>
  <si>
    <t>Crewdson</t>
  </si>
  <si>
    <t>Westmoreland</t>
  </si>
  <si>
    <t>Kendal,</t>
  </si>
  <si>
    <t>Creoom-Crewdson</t>
  </si>
  <si>
    <t>Lanerkshire</t>
  </si>
  <si>
    <t xml:space="preserve">Glasgow, </t>
  </si>
  <si>
    <t>Goulty</t>
  </si>
  <si>
    <t>Aslockton</t>
  </si>
  <si>
    <t>Ogden</t>
  </si>
  <si>
    <t>Parlor Maid</t>
  </si>
  <si>
    <t>Digby</t>
  </si>
  <si>
    <t>Lawrence</t>
  </si>
  <si>
    <t>Lilian</t>
  </si>
  <si>
    <t>Maid</t>
  </si>
  <si>
    <t>Bird</t>
  </si>
  <si>
    <t>Gerturde Fanny</t>
  </si>
  <si>
    <t>House Maid</t>
  </si>
  <si>
    <t>Stathern</t>
  </si>
  <si>
    <t>LA6</t>
  </si>
  <si>
    <t>Gamble</t>
  </si>
  <si>
    <t>John George</t>
  </si>
  <si>
    <t>Horse Depository Foreman</t>
  </si>
  <si>
    <t>Elementary School Teacher</t>
  </si>
  <si>
    <t>Education</t>
  </si>
  <si>
    <t>Irene</t>
  </si>
  <si>
    <t>Attends School</t>
  </si>
  <si>
    <t>LA7</t>
  </si>
  <si>
    <t>Rawson</t>
  </si>
  <si>
    <t>Normanton</t>
  </si>
  <si>
    <t>Blidworth</t>
  </si>
  <si>
    <t>Clerk (Fancy Goods)</t>
  </si>
  <si>
    <t>Retail</t>
  </si>
  <si>
    <t>Clerk (latunery)</t>
  </si>
  <si>
    <t>Alice may</t>
  </si>
  <si>
    <t>LA8</t>
  </si>
  <si>
    <t>Kirk</t>
  </si>
  <si>
    <t xml:space="preserve">Coachman </t>
  </si>
  <si>
    <t>Arnold</t>
  </si>
  <si>
    <t>New Radford</t>
  </si>
  <si>
    <t>Plain Net Mender</t>
  </si>
  <si>
    <t>LA9</t>
  </si>
  <si>
    <t>Frederick W</t>
  </si>
  <si>
    <t>Butler</t>
  </si>
  <si>
    <t>Brailsford</t>
  </si>
  <si>
    <t>Crewe</t>
  </si>
  <si>
    <t>Doris</t>
  </si>
  <si>
    <t>Lillian</t>
  </si>
  <si>
    <t>LA10</t>
  </si>
  <si>
    <t>Guilford</t>
  </si>
  <si>
    <t>Leaver-Guilford</t>
  </si>
  <si>
    <t>Everard</t>
  </si>
  <si>
    <t>Antiquary</t>
  </si>
  <si>
    <t>Morton</t>
  </si>
  <si>
    <t>Maxim</t>
  </si>
  <si>
    <t>LA11</t>
  </si>
  <si>
    <t>Hollybank</t>
  </si>
  <si>
    <t>Crawford</t>
  </si>
  <si>
    <t>Hugh</t>
  </si>
  <si>
    <t>Civil Engineer</t>
  </si>
  <si>
    <t>Engineering</t>
  </si>
  <si>
    <t>Renfrewshire</t>
  </si>
  <si>
    <t>Lochwinnoch</t>
  </si>
  <si>
    <t>Lincoln</t>
  </si>
  <si>
    <t>Robinson</t>
  </si>
  <si>
    <t>Sarah L</t>
  </si>
  <si>
    <t>Mansfield</t>
  </si>
  <si>
    <t>Thomson</t>
  </si>
  <si>
    <t>LA12</t>
  </si>
  <si>
    <t>Mall</t>
  </si>
  <si>
    <t>Lois</t>
  </si>
  <si>
    <t>Barnes</t>
  </si>
  <si>
    <t>Companion</t>
  </si>
  <si>
    <t>Wacher</t>
  </si>
  <si>
    <t>Luie</t>
  </si>
  <si>
    <t>Pinxton</t>
  </si>
  <si>
    <t>LA13</t>
  </si>
  <si>
    <t>Trigg</t>
  </si>
  <si>
    <t>William</t>
  </si>
  <si>
    <t>Groom</t>
  </si>
  <si>
    <t>Dunston</t>
  </si>
  <si>
    <t>Northamptonshire</t>
  </si>
  <si>
    <t>Woodnewton</t>
  </si>
  <si>
    <t>Millicent</t>
  </si>
  <si>
    <t>Lace Finisher</t>
  </si>
  <si>
    <t>Blouse Machinist</t>
  </si>
  <si>
    <t>Stock Assistant</t>
  </si>
  <si>
    <t>Dorothy</t>
  </si>
  <si>
    <t>LA14</t>
  </si>
  <si>
    <t>Sims</t>
  </si>
  <si>
    <t>Duffield</t>
  </si>
  <si>
    <t>Wellingore</t>
  </si>
  <si>
    <t>Gertie</t>
  </si>
  <si>
    <t>Dressmaker</t>
  </si>
  <si>
    <t>LA15</t>
  </si>
  <si>
    <t>Langsdale</t>
  </si>
  <si>
    <t>Sewing Machinist</t>
  </si>
  <si>
    <t>Housekeeper</t>
  </si>
  <si>
    <t>LA16</t>
  </si>
  <si>
    <t>Dundee House</t>
  </si>
  <si>
    <t>*MISSING*</t>
  </si>
  <si>
    <t>LA17</t>
  </si>
  <si>
    <t>Andrews</t>
  </si>
  <si>
    <t>Henry Godfrey</t>
  </si>
  <si>
    <t>Mechanical Director</t>
  </si>
  <si>
    <t>South Africa</t>
  </si>
  <si>
    <t>Dorothy Agnes</t>
  </si>
  <si>
    <t>Artist</t>
  </si>
  <si>
    <t>Arts</t>
  </si>
  <si>
    <t>Joan Godfrey</t>
  </si>
  <si>
    <t>Dorset</t>
  </si>
  <si>
    <t>Upper Parkstone</t>
  </si>
  <si>
    <t>Southers</t>
  </si>
  <si>
    <t>Sarah Ann Florence</t>
  </si>
  <si>
    <t>Dorsington</t>
  </si>
  <si>
    <t>Alice Jennie</t>
  </si>
  <si>
    <t>Medical/Domestic</t>
  </si>
  <si>
    <t>Gainsborough</t>
  </si>
  <si>
    <t>LA18</t>
  </si>
  <si>
    <t>Earnest Frederick</t>
  </si>
  <si>
    <t>Leather Dresser/Director</t>
  </si>
  <si>
    <t>Leather</t>
  </si>
  <si>
    <t>Beeston</t>
  </si>
  <si>
    <t>Philip</t>
  </si>
  <si>
    <t>Cicely</t>
  </si>
  <si>
    <t>Brian</t>
  </si>
  <si>
    <t>Snodin</t>
  </si>
  <si>
    <t>Ester</t>
  </si>
  <si>
    <t>Woodborough</t>
  </si>
  <si>
    <t>Muffitt</t>
  </si>
  <si>
    <t>Cambridgeshire</t>
  </si>
  <si>
    <t>Manea</t>
  </si>
  <si>
    <t>LA19</t>
  </si>
  <si>
    <t>Sanil</t>
  </si>
  <si>
    <t>Illegible</t>
  </si>
  <si>
    <t>Ida Rose</t>
  </si>
  <si>
    <t>Margaret Ida</t>
  </si>
  <si>
    <t>Frank Vose</t>
  </si>
  <si>
    <t>Drewry</t>
  </si>
  <si>
    <t>Doris Marie</t>
  </si>
  <si>
    <t>Fortes</t>
  </si>
  <si>
    <t>York</t>
  </si>
  <si>
    <t>Hotchin</t>
  </si>
  <si>
    <t>Bardney</t>
  </si>
  <si>
    <t>LA20</t>
  </si>
  <si>
    <t>Wood</t>
  </si>
  <si>
    <t>Herbert</t>
  </si>
  <si>
    <t>Colliery Agent</t>
  </si>
  <si>
    <t>Elsie</t>
  </si>
  <si>
    <t>Hayes</t>
  </si>
  <si>
    <t>Sutton-on-Trent</t>
  </si>
  <si>
    <t>Mass</t>
  </si>
  <si>
    <t>Mainnie</t>
  </si>
  <si>
    <t>Alfreton</t>
  </si>
  <si>
    <t>LA21</t>
  </si>
  <si>
    <t>Shelton</t>
  </si>
  <si>
    <t>Albert William</t>
  </si>
  <si>
    <t>Estate Agent</t>
  </si>
  <si>
    <t>Property</t>
  </si>
  <si>
    <t>Winifred Mary</t>
  </si>
  <si>
    <t>Charles William</t>
  </si>
  <si>
    <t>Estate Agents Clerk</t>
  </si>
  <si>
    <t>Booth</t>
  </si>
  <si>
    <t>Allen Edward</t>
  </si>
  <si>
    <t>Commercial Haullier</t>
  </si>
  <si>
    <t>Ladies Underwear</t>
  </si>
  <si>
    <t>Leytonstone</t>
  </si>
  <si>
    <t>Visitor</t>
  </si>
  <si>
    <t>Rolfe</t>
  </si>
  <si>
    <t>Norfolk</t>
  </si>
  <si>
    <t>Walpole</t>
  </si>
  <si>
    <t>Elvin</t>
  </si>
  <si>
    <t>Mary Lizzie</t>
  </si>
  <si>
    <t>Blankney</t>
  </si>
  <si>
    <t>LA22</t>
  </si>
  <si>
    <t>LA23</t>
  </si>
  <si>
    <t>Salisbury</t>
  </si>
  <si>
    <t>Bowers</t>
  </si>
  <si>
    <t>William Daniel</t>
  </si>
  <si>
    <t>Comission Agent</t>
  </si>
  <si>
    <t>Tea</t>
  </si>
  <si>
    <t>Little Bowden</t>
  </si>
  <si>
    <t>Hackney</t>
  </si>
  <si>
    <t>William Warren</t>
  </si>
  <si>
    <t>Hop Bilter</t>
  </si>
  <si>
    <t>Brewing</t>
  </si>
  <si>
    <t>Franter</t>
  </si>
  <si>
    <t>Stoke-on-Trent</t>
  </si>
  <si>
    <t>Allcock</t>
  </si>
  <si>
    <t>Mabel Frances</t>
  </si>
  <si>
    <t>Housmaid</t>
  </si>
  <si>
    <t>Hampshire</t>
  </si>
  <si>
    <t>Aldershot</t>
  </si>
  <si>
    <t>LA24</t>
  </si>
  <si>
    <t>Glenelg</t>
  </si>
  <si>
    <t>Clayton</t>
  </si>
  <si>
    <t>Henry Bell</t>
  </si>
  <si>
    <t>Butterwick</t>
  </si>
  <si>
    <t>Harry</t>
  </si>
  <si>
    <t>Sears</t>
  </si>
  <si>
    <t>Bedfordhsire</t>
  </si>
  <si>
    <t>Old Ward</t>
  </si>
  <si>
    <t>Newark</t>
  </si>
  <si>
    <t>Clumber rd W dan</t>
  </si>
  <si>
    <t>CRW1</t>
  </si>
  <si>
    <t>Felixstowe</t>
  </si>
  <si>
    <t>Clumber Road West</t>
  </si>
  <si>
    <t>Dowson</t>
  </si>
  <si>
    <t>William Enfield</t>
  </si>
  <si>
    <t>Helena Brownsword</t>
  </si>
  <si>
    <t>Secretary</t>
  </si>
  <si>
    <t>Sufferage Soc</t>
  </si>
  <si>
    <t>Alice Maud</t>
  </si>
  <si>
    <t>Portsmouth</t>
  </si>
  <si>
    <t>Underwood</t>
  </si>
  <si>
    <t>Caroline</t>
  </si>
  <si>
    <t>Parlour Maid</t>
  </si>
  <si>
    <t>Leamington Spa</t>
  </si>
  <si>
    <t>Greenway</t>
  </si>
  <si>
    <t>CRW2</t>
  </si>
  <si>
    <t>Linden House</t>
  </si>
  <si>
    <t>John William</t>
  </si>
  <si>
    <t>Hosiery Manufacturer</t>
  </si>
  <si>
    <t>Hosiery</t>
  </si>
  <si>
    <t>Charles Thomas</t>
  </si>
  <si>
    <t>Suit Fitter</t>
  </si>
  <si>
    <t>Tailoring</t>
  </si>
  <si>
    <t>Caroline Sarah</t>
  </si>
  <si>
    <t>Sister</t>
  </si>
  <si>
    <t>Ticknall</t>
  </si>
  <si>
    <t>CRW3</t>
  </si>
  <si>
    <t>Holly Lodge</t>
  </si>
  <si>
    <t>Berrey</t>
  </si>
  <si>
    <t>J Edmund</t>
  </si>
  <si>
    <t xml:space="preserve">Mabel </t>
  </si>
  <si>
    <t>Dexter</t>
  </si>
  <si>
    <t>Letitia</t>
  </si>
  <si>
    <t>Kilburn</t>
  </si>
  <si>
    <t>Hicks</t>
  </si>
  <si>
    <t>maxtoke rd dan</t>
  </si>
  <si>
    <t>MR1</t>
  </si>
  <si>
    <t>Stowe House</t>
  </si>
  <si>
    <t>Maxtoke Road</t>
  </si>
  <si>
    <t>Hesse</t>
  </si>
  <si>
    <t>Marie Augustine</t>
  </si>
  <si>
    <t>Belgium</t>
  </si>
  <si>
    <t>Brussells</t>
  </si>
  <si>
    <t>Reid</t>
  </si>
  <si>
    <t>May Catherine</t>
  </si>
  <si>
    <t>Ladies Companion</t>
  </si>
  <si>
    <t>Surrey</t>
  </si>
  <si>
    <t>Croydon</t>
  </si>
  <si>
    <t>Whittaker</t>
  </si>
  <si>
    <t>Gamston</t>
  </si>
  <si>
    <t>Whitehead</t>
  </si>
  <si>
    <t>Emily Julia</t>
  </si>
  <si>
    <t>MR2</t>
  </si>
  <si>
    <t>Burton House</t>
  </si>
  <si>
    <t>Ransom</t>
  </si>
  <si>
    <t>Doley Scott</t>
  </si>
  <si>
    <t>Helen Winifred</t>
  </si>
  <si>
    <t>Helen Judith</t>
  </si>
  <si>
    <t>Dorothy Byrom</t>
  </si>
  <si>
    <t>Charles Herbert Flower</t>
  </si>
  <si>
    <t>Hibbert</t>
  </si>
  <si>
    <t xml:space="preserve">Fanny </t>
  </si>
  <si>
    <t>Burton on Trent</t>
  </si>
  <si>
    <t>Harper</t>
  </si>
  <si>
    <t>Annie Mabel</t>
  </si>
  <si>
    <t>Lender Nurse</t>
  </si>
  <si>
    <t>Rugby St Johns</t>
  </si>
  <si>
    <t>Wiles</t>
  </si>
  <si>
    <t>Parkham</t>
  </si>
  <si>
    <t>Margaret Alice</t>
  </si>
  <si>
    <t>Thames Ditton</t>
  </si>
  <si>
    <t>clumbercress dan</t>
  </si>
  <si>
    <t>CCS1</t>
  </si>
  <si>
    <t>Gwedon</t>
  </si>
  <si>
    <t>Clumber Crescent South</t>
  </si>
  <si>
    <t>654+566</t>
  </si>
  <si>
    <t>Jardine</t>
  </si>
  <si>
    <t>Earnest</t>
  </si>
  <si>
    <t>Engineer</t>
  </si>
  <si>
    <t>Nottinghamshie</t>
  </si>
  <si>
    <t>23 room house</t>
  </si>
  <si>
    <t>Ada Jane</t>
  </si>
  <si>
    <t>Iris</t>
  </si>
  <si>
    <t>Bouring</t>
  </si>
  <si>
    <t>Estate Agent &amp; Surveyor</t>
  </si>
  <si>
    <t>Somerset</t>
  </si>
  <si>
    <t>Polsham nr Wells</t>
  </si>
  <si>
    <t>Visitors Wife</t>
  </si>
  <si>
    <t>Hanton, Wookey, Wells</t>
  </si>
  <si>
    <t>Porch</t>
  </si>
  <si>
    <t>Dorothy Margaret</t>
  </si>
  <si>
    <t>Galstonbury</t>
  </si>
  <si>
    <t>May</t>
  </si>
  <si>
    <t>Bunny</t>
  </si>
  <si>
    <t>Evanson</t>
  </si>
  <si>
    <t>Beatrice</t>
  </si>
  <si>
    <t>Beatrice Fanny</t>
  </si>
  <si>
    <t>Huntingdonshire</t>
  </si>
  <si>
    <t>Elton</t>
  </si>
  <si>
    <t>Harriett</t>
  </si>
  <si>
    <t>Sleafrod</t>
  </si>
  <si>
    <t>CCS2</t>
  </si>
  <si>
    <t>Challands</t>
  </si>
  <si>
    <t>Richard</t>
  </si>
  <si>
    <t>Retired Lace Manufacturer</t>
  </si>
  <si>
    <t>Bottesford</t>
  </si>
  <si>
    <t>17 room house</t>
  </si>
  <si>
    <t>Beatrice mary</t>
  </si>
  <si>
    <t>Nora</t>
  </si>
  <si>
    <t>Wisbeach</t>
  </si>
  <si>
    <t>Knapp</t>
  </si>
  <si>
    <t>Eliza</t>
  </si>
  <si>
    <t>High Wycombe</t>
  </si>
  <si>
    <t>Adkins</t>
  </si>
  <si>
    <t>Kanpanton</t>
  </si>
  <si>
    <t>Lee</t>
  </si>
  <si>
    <t>Minnie</t>
  </si>
  <si>
    <t>Selston</t>
  </si>
  <si>
    <t>CCS3</t>
  </si>
  <si>
    <t>Park Hall</t>
  </si>
  <si>
    <t>Thorpe Perry</t>
  </si>
  <si>
    <t>14 room house</t>
  </si>
  <si>
    <t>Rhonda</t>
  </si>
  <si>
    <t>Cubb</t>
  </si>
  <si>
    <t>Parlormaid</t>
  </si>
  <si>
    <t>Castle Donnington</t>
  </si>
  <si>
    <t>Chapman</t>
  </si>
  <si>
    <t>Belgrave Sq</t>
  </si>
  <si>
    <t>CCS4</t>
  </si>
  <si>
    <t>Fitzhugh</t>
  </si>
  <si>
    <t>Retired Chemist</t>
  </si>
  <si>
    <t>Science</t>
  </si>
  <si>
    <t>Northampton</t>
  </si>
  <si>
    <t>13 room house</t>
  </si>
  <si>
    <t>Maria Louise</t>
  </si>
  <si>
    <t>1 child died</t>
  </si>
  <si>
    <t>Alice Louise</t>
  </si>
  <si>
    <t>Peetman</t>
  </si>
  <si>
    <t>Ethel Ann</t>
  </si>
  <si>
    <t>Heceby</t>
  </si>
  <si>
    <t>Copewin</t>
  </si>
  <si>
    <t>Gaydon Thopre</t>
  </si>
  <si>
    <t>Cav cresn</t>
  </si>
  <si>
    <t>CCN1</t>
  </si>
  <si>
    <t>Kentmere</t>
  </si>
  <si>
    <t>Cavendish Crescent North</t>
  </si>
  <si>
    <t>Wing</t>
  </si>
  <si>
    <t>Sara Whitehead</t>
  </si>
  <si>
    <t>Automobile Engineer</t>
  </si>
  <si>
    <t>Solicitor articled Clerk</t>
  </si>
  <si>
    <t>Busby</t>
  </si>
  <si>
    <t>Ester Amelia</t>
  </si>
  <si>
    <t>Stanger</t>
  </si>
  <si>
    <t>Lottie</t>
  </si>
  <si>
    <t>CCN2</t>
  </si>
  <si>
    <t>Carisbrooke</t>
  </si>
  <si>
    <t>Director Public Co</t>
  </si>
  <si>
    <t>Oston</t>
  </si>
  <si>
    <t>Fell</t>
  </si>
  <si>
    <t>Maude Ellen</t>
  </si>
  <si>
    <t>Pettitt</t>
  </si>
  <si>
    <t>Mary Emma</t>
  </si>
  <si>
    <t>Huntingdon</t>
  </si>
  <si>
    <t>Nova scotia</t>
  </si>
  <si>
    <t>CCN3</t>
  </si>
  <si>
    <t>Cavendish Lodge</t>
  </si>
  <si>
    <t>Foster</t>
  </si>
  <si>
    <t>Florence Eileen</t>
  </si>
  <si>
    <t>school</t>
  </si>
  <si>
    <t>Mr Fostersigned census</t>
  </si>
  <si>
    <t>Lefebvre</t>
  </si>
  <si>
    <t>Rachel Julia</t>
  </si>
  <si>
    <t>France</t>
  </si>
  <si>
    <t>Bossa</t>
  </si>
  <si>
    <t>Marie</t>
  </si>
  <si>
    <t>Bell</t>
  </si>
  <si>
    <t>Newham</t>
  </si>
  <si>
    <t>Edgar Thorp</t>
  </si>
  <si>
    <t>Yardman</t>
  </si>
  <si>
    <t>CCN4</t>
  </si>
  <si>
    <t>Blantyre</t>
  </si>
  <si>
    <t>Philip Austin</t>
  </si>
  <si>
    <t>Brewery Mgr</t>
  </si>
  <si>
    <t>Frances Emily</t>
  </si>
  <si>
    <t>pk</t>
  </si>
  <si>
    <t>Philipa Effie</t>
  </si>
  <si>
    <t>Frances Marjorie</t>
  </si>
  <si>
    <t>Beatrice Sophia</t>
  </si>
  <si>
    <t>Philip Gervaise</t>
  </si>
  <si>
    <t>Knight</t>
  </si>
  <si>
    <t>Susan</t>
  </si>
  <si>
    <t>cheshire</t>
  </si>
  <si>
    <t>Skells</t>
  </si>
  <si>
    <t>Oliver</t>
  </si>
  <si>
    <t>Ellen</t>
  </si>
  <si>
    <t>Ethel Mary</t>
  </si>
  <si>
    <t>Kitchen maid</t>
  </si>
  <si>
    <t xml:space="preserve">Smith </t>
  </si>
  <si>
    <t>Eleanor Harriet</t>
  </si>
  <si>
    <t>CCN5</t>
  </si>
  <si>
    <t>Hine</t>
  </si>
  <si>
    <t>Groves Conway</t>
  </si>
  <si>
    <t>Ephemia</t>
  </si>
  <si>
    <t>ireland</t>
  </si>
  <si>
    <t>Mary Gertrude</t>
  </si>
  <si>
    <t>Cleek</t>
  </si>
  <si>
    <t>CCN6</t>
  </si>
  <si>
    <t>Peverel</t>
  </si>
  <si>
    <t>Stevenson</t>
  </si>
  <si>
    <t>Mr Webb signed census</t>
  </si>
  <si>
    <t>Simpson</t>
  </si>
  <si>
    <t>Emma Annie</t>
  </si>
  <si>
    <t>Dunnicliffe</t>
  </si>
  <si>
    <t>Evelyn Annie</t>
  </si>
  <si>
    <t>Shipman</t>
  </si>
  <si>
    <t>Harold Herbert</t>
  </si>
  <si>
    <t>Helper garden</t>
  </si>
  <si>
    <t>CCN7</t>
  </si>
  <si>
    <t>Hardwick</t>
  </si>
  <si>
    <t>Weinberg</t>
  </si>
  <si>
    <t>Mehir</t>
  </si>
  <si>
    <t>Shipping Merchant and Lace Manuf</t>
  </si>
  <si>
    <t>usa</t>
  </si>
  <si>
    <t>Jacob</t>
  </si>
  <si>
    <t>Eli Gustave</t>
  </si>
  <si>
    <t>6 mths</t>
  </si>
  <si>
    <t>Ortner</t>
  </si>
  <si>
    <t>Violet</t>
  </si>
  <si>
    <t>Austrian</t>
  </si>
  <si>
    <t>Nelly</t>
  </si>
  <si>
    <t>Nicholls</t>
  </si>
  <si>
    <t>Lizzie</t>
  </si>
  <si>
    <t>Adcock</t>
  </si>
  <si>
    <t>CCN8</t>
  </si>
  <si>
    <t>Haddon</t>
  </si>
  <si>
    <t>John Percy</t>
  </si>
  <si>
    <t>Catherine</t>
  </si>
  <si>
    <t>liverpool</t>
  </si>
  <si>
    <t>Father</t>
  </si>
  <si>
    <t>retired lace manuf</t>
  </si>
  <si>
    <t>John Leslie</t>
  </si>
  <si>
    <t>lace manuf (assis in business)</t>
  </si>
  <si>
    <t>Constance Marjorie</t>
  </si>
  <si>
    <t>Leman</t>
  </si>
  <si>
    <t>Helena Doris</t>
  </si>
  <si>
    <t>Richards</t>
  </si>
  <si>
    <t>Derbys</t>
  </si>
  <si>
    <t>Cunnington</t>
  </si>
  <si>
    <t>Sarah Leah</t>
  </si>
  <si>
    <t>Contance Ethel</t>
  </si>
  <si>
    <t>southrd p 168</t>
  </si>
  <si>
    <t>SR1</t>
  </si>
  <si>
    <t>South Rd</t>
  </si>
  <si>
    <t>Brewster</t>
  </si>
  <si>
    <t>Frederick</t>
  </si>
  <si>
    <t>Retired Clark to commissioner</t>
  </si>
  <si>
    <t>Wordcock</t>
  </si>
  <si>
    <t>Augusta</t>
  </si>
  <si>
    <t>also says private means</t>
  </si>
  <si>
    <t>Beadle</t>
  </si>
  <si>
    <t>Margaret Emma</t>
  </si>
  <si>
    <t>Sharpe</t>
  </si>
  <si>
    <t>SR2</t>
  </si>
  <si>
    <t>Gardenhurst</t>
  </si>
  <si>
    <t>Hadden</t>
  </si>
  <si>
    <t>Henry Charles</t>
  </si>
  <si>
    <t>MD</t>
  </si>
  <si>
    <t>Costumier</t>
  </si>
  <si>
    <t>Abdeenshire</t>
  </si>
  <si>
    <t>Norspool</t>
  </si>
  <si>
    <t>Nurse Parlourmaid</t>
  </si>
  <si>
    <t>SR3</t>
  </si>
  <si>
    <t>Ellenborough</t>
  </si>
  <si>
    <t>McCaith</t>
  </si>
  <si>
    <t>Maria Elizabeth</t>
  </si>
  <si>
    <t>Douglas</t>
  </si>
  <si>
    <t>Bernard</t>
  </si>
  <si>
    <t>Auctioneer</t>
  </si>
  <si>
    <t>Kenneth Yorke</t>
  </si>
  <si>
    <t xml:space="preserve">Student </t>
  </si>
  <si>
    <t>Cambridge Univ</t>
  </si>
  <si>
    <t>Violet Muriel</t>
  </si>
  <si>
    <t>school age 18 female</t>
  </si>
  <si>
    <t>Richardson</t>
  </si>
  <si>
    <t>Isabelle</t>
  </si>
  <si>
    <t>Ireland</t>
  </si>
  <si>
    <t>Eliza Ann</t>
  </si>
  <si>
    <t>Todd</t>
  </si>
  <si>
    <t>Adelaide</t>
  </si>
  <si>
    <t>Barlow</t>
  </si>
  <si>
    <t>Edith Jane</t>
  </si>
  <si>
    <t>SR4</t>
  </si>
  <si>
    <t>Parkhurst</t>
  </si>
  <si>
    <t>Allop</t>
  </si>
  <si>
    <t>Ann</t>
  </si>
  <si>
    <t>Horrock</t>
  </si>
  <si>
    <t>general servant</t>
  </si>
  <si>
    <t>SR5</t>
  </si>
  <si>
    <t>Evans</t>
  </si>
  <si>
    <t>Architect + surveyor</t>
  </si>
  <si>
    <t>Edith Mary</t>
  </si>
  <si>
    <t>Ethel Francis</t>
  </si>
  <si>
    <t>Bellamy</t>
  </si>
  <si>
    <t>Cambs</t>
  </si>
  <si>
    <t>Addis</t>
  </si>
  <si>
    <t>Herefords</t>
  </si>
  <si>
    <t>SR6</t>
  </si>
  <si>
    <t>Charlotte</t>
  </si>
  <si>
    <t>Stubington</t>
  </si>
  <si>
    <t>George Henry</t>
  </si>
  <si>
    <t>Bank Manager</t>
  </si>
  <si>
    <t>Hamp</t>
  </si>
  <si>
    <t>Sarah Maria</t>
  </si>
  <si>
    <t>Hamps</t>
  </si>
  <si>
    <t>Bank Clerk</t>
  </si>
  <si>
    <t>Berks</t>
  </si>
  <si>
    <t>Tunnicliffe</t>
  </si>
  <si>
    <t>Copeman</t>
  </si>
  <si>
    <t>E</t>
  </si>
  <si>
    <t>Cavendish Cres S p182</t>
  </si>
  <si>
    <t>CaCS1</t>
  </si>
  <si>
    <t>Cavendish cres South</t>
  </si>
  <si>
    <t>Dobson</t>
  </si>
  <si>
    <t>Charles Frederick</t>
  </si>
  <si>
    <t>Lenton Rd born</t>
  </si>
  <si>
    <t>Ada Mary</t>
  </si>
  <si>
    <t>Mary Ruth</t>
  </si>
  <si>
    <t>Wlliams</t>
  </si>
  <si>
    <t>general serv</t>
  </si>
  <si>
    <t>Mee</t>
  </si>
  <si>
    <t>CaCS2</t>
  </si>
  <si>
    <t>Housekeeper in charge</t>
  </si>
  <si>
    <t>Kent</t>
  </si>
  <si>
    <t>seems to be 'servants residence'</t>
  </si>
  <si>
    <t>Horner</t>
  </si>
  <si>
    <t>Cecile Alice</t>
  </si>
  <si>
    <t>lives with parents no occupation</t>
  </si>
  <si>
    <t>census siged by mrs Potter</t>
  </si>
  <si>
    <t>Emery</t>
  </si>
  <si>
    <t>CaCS3</t>
  </si>
  <si>
    <t>Ravenscourt</t>
  </si>
  <si>
    <t>lace manuf</t>
  </si>
  <si>
    <t>Heygate</t>
  </si>
  <si>
    <t>no occup</t>
  </si>
  <si>
    <t>Winifred</t>
  </si>
  <si>
    <t>Blackwells</t>
  </si>
  <si>
    <t>CaCS4</t>
  </si>
  <si>
    <t>Albert Villa</t>
  </si>
  <si>
    <t>Allen</t>
  </si>
  <si>
    <t>indep means</t>
  </si>
  <si>
    <t>Hardy</t>
  </si>
  <si>
    <t>Kerry</t>
  </si>
  <si>
    <t>Bertha Grahame</t>
  </si>
  <si>
    <t>CaCS5</t>
  </si>
  <si>
    <t>Hollyroyd</t>
  </si>
  <si>
    <t>Cloak</t>
  </si>
  <si>
    <t>Retired grocer</t>
  </si>
  <si>
    <t>Stone</t>
  </si>
  <si>
    <t>Warman</t>
  </si>
  <si>
    <t>Clara Ella</t>
  </si>
  <si>
    <t>Oxford</t>
  </si>
  <si>
    <t>CaCS6</t>
  </si>
  <si>
    <t>Jessop</t>
  </si>
  <si>
    <t>William James</t>
  </si>
  <si>
    <t>Exeter</t>
  </si>
  <si>
    <t>Slack</t>
  </si>
  <si>
    <t>No Occu</t>
  </si>
  <si>
    <t>Florence Ma</t>
  </si>
  <si>
    <t>Instructress in wood carving</t>
  </si>
  <si>
    <t>Staffs CC</t>
  </si>
  <si>
    <t>Rose Gertrude</t>
  </si>
  <si>
    <t>Hospital Nurse</t>
  </si>
  <si>
    <t>non</t>
  </si>
  <si>
    <t>Effie Grace</t>
  </si>
  <si>
    <t>Teacher of work carving</t>
  </si>
  <si>
    <t>Fagan</t>
  </si>
  <si>
    <t>Blanche Gertrude</t>
  </si>
  <si>
    <t>Black</t>
  </si>
  <si>
    <t>Catherine Charlotte</t>
  </si>
  <si>
    <t>CaCS7</t>
  </si>
  <si>
    <t>Arthur Neale</t>
  </si>
  <si>
    <t>Jane Prestbury Lee crossed out - widow private means presume not home that day</t>
  </si>
  <si>
    <t>Toilson</t>
  </si>
  <si>
    <t>Betsy</t>
  </si>
  <si>
    <t>Cragg</t>
  </si>
  <si>
    <t>Lydia Elizabeth</t>
  </si>
  <si>
    <t>CaCS8</t>
  </si>
  <si>
    <t>Bradwell</t>
  </si>
  <si>
    <t>William Howard</t>
  </si>
  <si>
    <t>Carrie Sarah</t>
  </si>
  <si>
    <t>Doris Howard</t>
  </si>
  <si>
    <t>Chonie</t>
  </si>
  <si>
    <t>Chatioir</t>
  </si>
  <si>
    <t>CaCS9</t>
  </si>
  <si>
    <t>Sewing maid</t>
  </si>
  <si>
    <t>address is 3 tattershall drive on form but signed by C Hutchinson &amp; address is 5 Cavendish Cres South</t>
  </si>
  <si>
    <t>Simpkin</t>
  </si>
  <si>
    <t>Pearse</t>
  </si>
  <si>
    <t>CaCS10</t>
  </si>
  <si>
    <t>Kirkstall Lodge</t>
  </si>
  <si>
    <t>Frank William</t>
  </si>
  <si>
    <t>Emma Mary</t>
  </si>
  <si>
    <t>Sunderland</t>
  </si>
  <si>
    <t>Staneland</t>
  </si>
  <si>
    <t>Reynolds</t>
  </si>
  <si>
    <t>Jessie</t>
  </si>
  <si>
    <t>CaCS11</t>
  </si>
  <si>
    <t>The Lawn</t>
  </si>
  <si>
    <t>Cockburn</t>
  </si>
  <si>
    <t>Warks</t>
  </si>
  <si>
    <t xml:space="preserve">Signed by Mr Rook </t>
  </si>
  <si>
    <t>Wilmot</t>
  </si>
  <si>
    <t>Police Constable</t>
  </si>
  <si>
    <t>Nottingham Corp.</t>
  </si>
  <si>
    <t>Caretaker</t>
  </si>
  <si>
    <t>Fox</t>
  </si>
  <si>
    <t>Jane</t>
  </si>
  <si>
    <t>Ashbolt</t>
  </si>
  <si>
    <t>Florrie Ada</t>
  </si>
  <si>
    <t>holles cres p202</t>
  </si>
  <si>
    <t>HC1</t>
  </si>
  <si>
    <t>Holles Cres</t>
  </si>
  <si>
    <t>Cassell</t>
  </si>
  <si>
    <t>Abel</t>
  </si>
  <si>
    <t>Furrier</t>
  </si>
  <si>
    <t>Sara Pearl</t>
  </si>
  <si>
    <t>18 mths</t>
  </si>
  <si>
    <t>Heattie</t>
  </si>
  <si>
    <t>sister in law</t>
  </si>
  <si>
    <t>nephew</t>
  </si>
  <si>
    <t>Helene</t>
  </si>
  <si>
    <t>10 mths</t>
  </si>
  <si>
    <t>Day</t>
  </si>
  <si>
    <t>Henrietta</t>
  </si>
  <si>
    <t>nurse</t>
  </si>
  <si>
    <t>Hoult</t>
  </si>
  <si>
    <t>Floy</t>
  </si>
  <si>
    <t>servant</t>
  </si>
  <si>
    <t>HC2</t>
  </si>
  <si>
    <t>Thomas Flewitt</t>
  </si>
  <si>
    <t>Olga Mary</t>
  </si>
  <si>
    <t>Olive Dobson</t>
  </si>
  <si>
    <t>Kirkham</t>
  </si>
  <si>
    <t>general domestic servant</t>
  </si>
  <si>
    <t>HC3</t>
  </si>
  <si>
    <t>Cash</t>
  </si>
  <si>
    <t>Emily Elizabeth</t>
  </si>
  <si>
    <t>Independent</t>
  </si>
  <si>
    <t>Suscombe</t>
  </si>
  <si>
    <t>ladies companion</t>
  </si>
  <si>
    <t>Manchester</t>
  </si>
  <si>
    <t>Waddington</t>
  </si>
  <si>
    <t>Ida</t>
  </si>
  <si>
    <t>Towcester</t>
  </si>
  <si>
    <t>LentonRd p208</t>
  </si>
  <si>
    <t>Married usually wife</t>
  </si>
  <si>
    <t>LR1</t>
  </si>
  <si>
    <t>Lenton Rd</t>
  </si>
  <si>
    <t>Ellen M</t>
  </si>
  <si>
    <t>Mountain</t>
  </si>
  <si>
    <t>aunt</t>
  </si>
  <si>
    <t>Sherwin</t>
  </si>
  <si>
    <t>LR2</t>
  </si>
  <si>
    <t>retired lace merchant</t>
  </si>
  <si>
    <t>Ellen Frances</t>
  </si>
  <si>
    <t>Frank Beckitt</t>
  </si>
  <si>
    <t>city architect</t>
  </si>
  <si>
    <t>notts CC</t>
  </si>
  <si>
    <t>Elizabeth Beatrice</t>
  </si>
  <si>
    <t>Ferwick</t>
  </si>
  <si>
    <t>Mary Ethel</t>
  </si>
  <si>
    <t>sick nurse</t>
  </si>
  <si>
    <t>nursing assoc</t>
  </si>
  <si>
    <t>Bath</t>
  </si>
  <si>
    <t>Hilda Marquerite</t>
  </si>
  <si>
    <t>Meek</t>
  </si>
  <si>
    <t>Harriet Louisa</t>
  </si>
  <si>
    <t xml:space="preserve">Housemaid </t>
  </si>
  <si>
    <t>Cheltenham</t>
  </si>
  <si>
    <t>LR3</t>
  </si>
  <si>
    <t>Watmough</t>
  </si>
  <si>
    <t>Wholesale confectioner &amp; sweet manuf</t>
  </si>
  <si>
    <t>Elizabeth C</t>
  </si>
  <si>
    <t>Rippongale</t>
  </si>
  <si>
    <t>LR4</t>
  </si>
  <si>
    <t>Preston</t>
  </si>
  <si>
    <t>Arundel Bracher</t>
  </si>
  <si>
    <t>Richard William Dades</t>
  </si>
  <si>
    <t>chemical student</t>
  </si>
  <si>
    <t>Overton Inett</t>
  </si>
  <si>
    <t>Horsey</t>
  </si>
  <si>
    <t>Blanche</t>
  </si>
  <si>
    <t>somerset</t>
  </si>
  <si>
    <t>LR5</t>
  </si>
  <si>
    <t>Wade</t>
  </si>
  <si>
    <t>Mary Anne</t>
  </si>
  <si>
    <t>Retired fancy draper</t>
  </si>
  <si>
    <t>Leeks</t>
  </si>
  <si>
    <t>Mary Jane</t>
  </si>
  <si>
    <t>no occ</t>
  </si>
  <si>
    <t>london</t>
  </si>
  <si>
    <t>Kemball</t>
  </si>
  <si>
    <t>adopted</t>
  </si>
  <si>
    <t>suffolk</t>
  </si>
  <si>
    <t>Swallow</t>
  </si>
  <si>
    <t xml:space="preserve">Louis Margaret </t>
  </si>
  <si>
    <t>LR6</t>
  </si>
  <si>
    <t>Ridgway</t>
  </si>
  <si>
    <t>Ernest Reginald</t>
  </si>
  <si>
    <t>Architect</t>
  </si>
  <si>
    <t>Louisa Goodwin</t>
  </si>
  <si>
    <t>Skelchley</t>
  </si>
  <si>
    <t>Lydia Swain</t>
  </si>
  <si>
    <t>No occ</t>
  </si>
  <si>
    <t>Garton</t>
  </si>
  <si>
    <t>Rebecca Hoyes</t>
  </si>
  <si>
    <t>domestic serv</t>
  </si>
  <si>
    <t>Hall</t>
  </si>
  <si>
    <t>LR7</t>
  </si>
  <si>
    <t>Fairholme Lodge</t>
  </si>
  <si>
    <t>Forman</t>
  </si>
  <si>
    <t>Newspaper Proprieter</t>
  </si>
  <si>
    <t>Amy Marguerite</t>
  </si>
  <si>
    <t>Thomas Vivian</t>
  </si>
  <si>
    <t>West</t>
  </si>
  <si>
    <t>derbys</t>
  </si>
  <si>
    <t>Price</t>
  </si>
  <si>
    <t>Phoebe</t>
  </si>
  <si>
    <t>staffs</t>
  </si>
  <si>
    <t>Chamberlain</t>
  </si>
  <si>
    <t>LR8</t>
  </si>
  <si>
    <t>Goodwin</t>
  </si>
  <si>
    <t>John Richard</t>
  </si>
  <si>
    <t>Retired bank mgr</t>
  </si>
  <si>
    <t>cambs</t>
  </si>
  <si>
    <t>Linekar</t>
  </si>
  <si>
    <t>Roberts</t>
  </si>
  <si>
    <t>Edith Ann</t>
  </si>
  <si>
    <t>LR9</t>
  </si>
  <si>
    <t>Oakhurst</t>
  </si>
  <si>
    <t>Edward Prosser</t>
  </si>
  <si>
    <t>? + millener ?</t>
  </si>
  <si>
    <t>Bedford</t>
  </si>
  <si>
    <t>Rawlins</t>
  </si>
  <si>
    <t xml:space="preserve">Christine </t>
  </si>
  <si>
    <t>Colman</t>
  </si>
  <si>
    <t>Rhodes</t>
  </si>
  <si>
    <t>Besfitt</t>
  </si>
  <si>
    <t>Mary Agnes</t>
  </si>
  <si>
    <t>LR10</t>
  </si>
  <si>
    <t>Heaton</t>
  </si>
  <si>
    <t>Geoffrey Turner</t>
  </si>
  <si>
    <t>signed by william H Heaton</t>
  </si>
  <si>
    <t>Nancy Joyce</t>
  </si>
  <si>
    <t>Durant</t>
  </si>
  <si>
    <t>Minnie Kate</t>
  </si>
  <si>
    <t>Whatt</t>
  </si>
  <si>
    <t>Annie Jane</t>
  </si>
  <si>
    <t>LR11</t>
  </si>
  <si>
    <t>Ravine</t>
  </si>
  <si>
    <t>Robert Junior</t>
  </si>
  <si>
    <t>Constance Katherine</t>
  </si>
  <si>
    <t>Edith Cecily</t>
  </si>
  <si>
    <t>Robert Hedland</t>
  </si>
  <si>
    <t>LR12</t>
  </si>
  <si>
    <t>Parson</t>
  </si>
  <si>
    <t>Frances Mays</t>
  </si>
  <si>
    <t>Brooks</t>
  </si>
  <si>
    <t>Amelia</t>
  </si>
  <si>
    <t>Congreve</t>
  </si>
  <si>
    <t>Hopkins</t>
  </si>
  <si>
    <t>Hannah Maria</t>
  </si>
  <si>
    <t>Cross</t>
  </si>
  <si>
    <t>Ladies companion</t>
  </si>
  <si>
    <t>Haywood</t>
  </si>
  <si>
    <t>Gertrude Elizabeth</t>
  </si>
  <si>
    <t>Milnes</t>
  </si>
  <si>
    <t>Pritchett</t>
  </si>
  <si>
    <t>LR13</t>
  </si>
  <si>
    <t xml:space="preserve">Lenton </t>
  </si>
  <si>
    <t>Johnson</t>
  </si>
  <si>
    <t>Samuel Waite</t>
  </si>
  <si>
    <t>Retired Mechanical Engineer</t>
  </si>
  <si>
    <t>Midland Rail Co.</t>
  </si>
  <si>
    <t>yorks</t>
  </si>
  <si>
    <t>johnson</t>
  </si>
  <si>
    <t xml:space="preserve">Louisa </t>
  </si>
  <si>
    <t>Manc</t>
  </si>
  <si>
    <t>Gertrude Caroline</t>
  </si>
  <si>
    <t>Ladys maid</t>
  </si>
  <si>
    <t>Marriott</t>
  </si>
  <si>
    <t>Beardall</t>
  </si>
  <si>
    <t>Ann Elizabeth</t>
  </si>
  <si>
    <t>Moulding</t>
  </si>
  <si>
    <t>kitchen maid</t>
  </si>
  <si>
    <t>Packer</t>
  </si>
  <si>
    <t>Gloucs</t>
  </si>
  <si>
    <t>Eron</t>
  </si>
  <si>
    <t>Mabel Evelyn</t>
  </si>
  <si>
    <t>Bristol</t>
  </si>
  <si>
    <t>LR14</t>
  </si>
  <si>
    <t>Carver</t>
  </si>
  <si>
    <t>lace manuf &amp; merchant</t>
  </si>
  <si>
    <t>Annie Florence Kirk</t>
  </si>
  <si>
    <t>Noble</t>
  </si>
  <si>
    <t>Anna</t>
  </si>
  <si>
    <t>LR15</t>
  </si>
  <si>
    <t>Lawson</t>
  </si>
  <si>
    <t>David</t>
  </si>
  <si>
    <t>Lace merchant</t>
  </si>
  <si>
    <t>Count Durham</t>
  </si>
  <si>
    <t>Laura</t>
  </si>
  <si>
    <t>Eversby</t>
  </si>
  <si>
    <t>LR16</t>
  </si>
  <si>
    <t xml:space="preserve">Cliff </t>
  </si>
  <si>
    <t>Parr</t>
  </si>
  <si>
    <t>Allen Mary</t>
  </si>
  <si>
    <t>Stockbroker</t>
  </si>
  <si>
    <t>William Noel</t>
  </si>
  <si>
    <t>Jo Violet</t>
  </si>
  <si>
    <t>Teacher</t>
  </si>
  <si>
    <t>Clergy daughters school Bristol</t>
  </si>
  <si>
    <t>Christine Nona</t>
  </si>
  <si>
    <t>Edgar Broan</t>
  </si>
  <si>
    <t>Student</t>
  </si>
  <si>
    <t>Practical Engineering</t>
  </si>
  <si>
    <t>Harris</t>
  </si>
  <si>
    <t>Francis Mary</t>
  </si>
  <si>
    <t>Susannah</t>
  </si>
  <si>
    <t>Yeomans</t>
  </si>
  <si>
    <t>Sara Emil</t>
  </si>
  <si>
    <t>Askew</t>
  </si>
  <si>
    <t>Vina Ann</t>
  </si>
  <si>
    <t>LR17</t>
  </si>
  <si>
    <t>The Stables</t>
  </si>
  <si>
    <t>Billy</t>
  </si>
  <si>
    <t>LR18</t>
  </si>
  <si>
    <t>Rock</t>
  </si>
  <si>
    <t>Norton</t>
  </si>
  <si>
    <t>William Frederick</t>
  </si>
  <si>
    <t>Corn Merchant</t>
  </si>
  <si>
    <t>Dealer</t>
  </si>
  <si>
    <t>Billyeald</t>
  </si>
  <si>
    <t>Sick nurse</t>
  </si>
  <si>
    <t>Justice</t>
  </si>
  <si>
    <t>Maud Annie</t>
  </si>
  <si>
    <t>LR19</t>
  </si>
  <si>
    <t>Henry Walker</t>
  </si>
  <si>
    <t>Consulting Engineer</t>
  </si>
  <si>
    <t>LR20</t>
  </si>
  <si>
    <t>Sedgeley</t>
  </si>
  <si>
    <t>Ball</t>
  </si>
  <si>
    <t>Real Estate and landagent</t>
  </si>
  <si>
    <t>Harvell Mary</t>
  </si>
  <si>
    <t>Lois Beatrice</t>
  </si>
  <si>
    <t>Greensmith</t>
  </si>
  <si>
    <t>LR21</t>
  </si>
  <si>
    <t>Williams</t>
  </si>
  <si>
    <t>Louisa Heather</t>
  </si>
  <si>
    <t>Ellen Mary</t>
  </si>
  <si>
    <t>Ches</t>
  </si>
  <si>
    <t>Arthur Paton</t>
  </si>
  <si>
    <t>Alice Marion Webb</t>
  </si>
  <si>
    <t>Alfred Percy</t>
  </si>
  <si>
    <t>Cigar merchant</t>
  </si>
  <si>
    <t>Ethelwyn Violet</t>
  </si>
  <si>
    <t xml:space="preserve">Cook </t>
  </si>
  <si>
    <t>Dutton</t>
  </si>
  <si>
    <t>LR22</t>
  </si>
  <si>
    <t>Westcliffe</t>
  </si>
  <si>
    <t>Mallet</t>
  </si>
  <si>
    <t xml:space="preserve">John </t>
  </si>
  <si>
    <t>Lace Curtain factory</t>
  </si>
  <si>
    <t>Janet</t>
  </si>
  <si>
    <t>Nale</t>
  </si>
  <si>
    <t>Guttridge</t>
  </si>
  <si>
    <t>LR23</t>
  </si>
  <si>
    <t>The Bungalow</t>
  </si>
  <si>
    <t>George A</t>
  </si>
  <si>
    <t>Director of companies</t>
  </si>
  <si>
    <t>dealing in groceries , drapery</t>
  </si>
  <si>
    <t>Clifford F</t>
  </si>
  <si>
    <t>Ralph E</t>
  </si>
  <si>
    <t>Georgianna A</t>
  </si>
  <si>
    <t>Jaqueline G</t>
  </si>
  <si>
    <t>4 mths</t>
  </si>
  <si>
    <t>Cooke</t>
  </si>
  <si>
    <t>Minnie A</t>
  </si>
  <si>
    <t>Dickens</t>
  </si>
  <si>
    <t>Sibyl</t>
  </si>
  <si>
    <t>Ingram</t>
  </si>
  <si>
    <t>Brunswick</t>
  </si>
  <si>
    <t>Keightley</t>
  </si>
  <si>
    <t>Gertrude B</t>
  </si>
  <si>
    <t>LR24</t>
  </si>
  <si>
    <t>Newbold</t>
  </si>
  <si>
    <t>Lizetta</t>
  </si>
  <si>
    <t>Elsie Elizabeth</t>
  </si>
  <si>
    <t>spinster</t>
  </si>
  <si>
    <t>Chemical Perfumery maker</t>
  </si>
  <si>
    <t>Hermitage Walkp 256</t>
  </si>
  <si>
    <t>HW1</t>
  </si>
  <si>
    <t>The Hermitage</t>
  </si>
  <si>
    <t>Hermitage Walk</t>
  </si>
  <si>
    <t>Hemingway</t>
  </si>
  <si>
    <t>Margaret Stewart</t>
  </si>
  <si>
    <t>Wainman</t>
  </si>
  <si>
    <t>Kenilworthrd p 259</t>
  </si>
  <si>
    <t>KR1</t>
  </si>
  <si>
    <t>Iveston</t>
  </si>
  <si>
    <t>Kenilworth Rd</t>
  </si>
  <si>
    <t>lace manu</t>
  </si>
  <si>
    <t>Ada Nicholson</t>
  </si>
  <si>
    <t>Helda</t>
  </si>
  <si>
    <t>Forter</t>
  </si>
  <si>
    <t>Smalley</t>
  </si>
  <si>
    <t>KR2</t>
  </si>
  <si>
    <t>Kenilworth</t>
  </si>
  <si>
    <t>Pemberton</t>
  </si>
  <si>
    <t>Samuel Walker</t>
  </si>
  <si>
    <t>Cotton manu</t>
  </si>
  <si>
    <t>Lucy Ann</t>
  </si>
  <si>
    <t>Musical student (voice)</t>
  </si>
  <si>
    <t>Lucie Ethel</t>
  </si>
  <si>
    <t>Musical student (piano)</t>
  </si>
  <si>
    <t>Purden</t>
  </si>
  <si>
    <t>KR3</t>
  </si>
  <si>
    <t>The Chestnuts</t>
  </si>
  <si>
    <t>Elborough</t>
  </si>
  <si>
    <t>Fe Thos</t>
  </si>
  <si>
    <t>Engineers merchant</t>
  </si>
  <si>
    <t>Ethel Evisor</t>
  </si>
  <si>
    <t>Dorothy Ellen</t>
  </si>
  <si>
    <t>Mayone Jane</t>
  </si>
  <si>
    <t>Olive Hunter</t>
  </si>
  <si>
    <t>Joyce Beaumont</t>
  </si>
  <si>
    <t>Holmes</t>
  </si>
  <si>
    <t>KR4</t>
  </si>
  <si>
    <t>kenilworth Rd</t>
  </si>
  <si>
    <t>Hardstaff</t>
  </si>
  <si>
    <t>Thomas Wilkinson</t>
  </si>
  <si>
    <t>Wicker manuf</t>
  </si>
  <si>
    <t>Ethel Dora</t>
  </si>
  <si>
    <t>Arthur Harman</t>
  </si>
  <si>
    <t>Endling</t>
  </si>
  <si>
    <t>kenilworth rd</t>
  </si>
  <si>
    <t>fishpond drive p 286 418</t>
  </si>
  <si>
    <t>Note have only included those on Castle Boulevard who refer to a Fishpond drive address on census</t>
  </si>
  <si>
    <t>FD1</t>
  </si>
  <si>
    <t>Sunnyside</t>
  </si>
  <si>
    <t>Fishpond Drive</t>
  </si>
  <si>
    <t>Oakey</t>
  </si>
  <si>
    <t>Arthur A</t>
  </si>
  <si>
    <t>Retired Corn ?</t>
  </si>
  <si>
    <t>aka 44 Castle Boulevard</t>
  </si>
  <si>
    <t>Bates</t>
  </si>
  <si>
    <t>FD2</t>
  </si>
  <si>
    <t>Glenmaye</t>
  </si>
  <si>
    <t>house 48 Castle boulevard, back way fishpond drive</t>
  </si>
  <si>
    <t>Phylis</t>
  </si>
  <si>
    <t>born Fishpond Drive the park</t>
  </si>
  <si>
    <t>FD3</t>
  </si>
  <si>
    <t>Norhow Villa</t>
  </si>
  <si>
    <t>George Gale</t>
  </si>
  <si>
    <t>Property Broker</t>
  </si>
  <si>
    <t>Front way 52 Castle boulevard</t>
  </si>
  <si>
    <t>Rebecca Walling</t>
  </si>
  <si>
    <t>Edith Eleanor</t>
  </si>
  <si>
    <t>Retail chemists</t>
  </si>
  <si>
    <t>George Owen</t>
  </si>
  <si>
    <t>Nottingham Corp</t>
  </si>
  <si>
    <t>Mary Eleanor</t>
  </si>
  <si>
    <t>Clerk wholesal chemists</t>
  </si>
  <si>
    <t>Boots</t>
  </si>
  <si>
    <t>Stigings</t>
  </si>
  <si>
    <t>Charles</t>
  </si>
  <si>
    <t>Farmer</t>
  </si>
  <si>
    <t>own account</t>
  </si>
  <si>
    <t>FD4</t>
  </si>
  <si>
    <t>Goldstowe</t>
  </si>
  <si>
    <t>Sheffield</t>
  </si>
  <si>
    <t>Louise</t>
  </si>
  <si>
    <t>German</t>
  </si>
  <si>
    <t>Salo Alfred</t>
  </si>
  <si>
    <t>Ella</t>
  </si>
  <si>
    <t>1 mth</t>
  </si>
  <si>
    <t>Stepson</t>
  </si>
  <si>
    <t>Ludwig</t>
  </si>
  <si>
    <t>Starbuck</t>
  </si>
  <si>
    <t xml:space="preserve">General </t>
  </si>
  <si>
    <t>Hope Drive p.376</t>
  </si>
  <si>
    <t>Rooms in house</t>
  </si>
  <si>
    <t>worker/employee</t>
  </si>
  <si>
    <t>HD1</t>
  </si>
  <si>
    <t>Hope Drive</t>
  </si>
  <si>
    <t>Brampton</t>
  </si>
  <si>
    <t>Enos</t>
  </si>
  <si>
    <t>Groom - Coachman</t>
  </si>
  <si>
    <t>at home</t>
  </si>
  <si>
    <t>Lace curtain folder</t>
  </si>
  <si>
    <t>lace dressers</t>
  </si>
  <si>
    <t>Office boy</t>
  </si>
  <si>
    <t>at school</t>
  </si>
  <si>
    <t>HD2</t>
  </si>
  <si>
    <t>Cartons foreman</t>
  </si>
  <si>
    <t>General carrier</t>
  </si>
  <si>
    <t>George Ross</t>
  </si>
  <si>
    <t>Building soc</t>
  </si>
  <si>
    <t>Susan Emily</t>
  </si>
  <si>
    <t>Dawson</t>
  </si>
  <si>
    <t>James Rutter</t>
  </si>
  <si>
    <t>Bricklayer</t>
  </si>
  <si>
    <t>Builder</t>
  </si>
  <si>
    <t>Kate Elizabeth</t>
  </si>
  <si>
    <t>HD3</t>
  </si>
  <si>
    <t>Finney</t>
  </si>
  <si>
    <t xml:space="preserve">Cashier </t>
  </si>
  <si>
    <t>lace bleaching, dying and dressing works</t>
  </si>
  <si>
    <t>Head teacher</t>
  </si>
  <si>
    <t>Lenton trust school</t>
  </si>
  <si>
    <t>lancs</t>
  </si>
  <si>
    <t>Emilie Gertrude</t>
  </si>
  <si>
    <t>Assistant teacher</t>
  </si>
  <si>
    <t>Notts Council school</t>
  </si>
  <si>
    <t>Robert Cecil</t>
  </si>
  <si>
    <t>railway contractor</t>
  </si>
  <si>
    <t>HD4</t>
  </si>
  <si>
    <t>engineer</t>
  </si>
  <si>
    <t>Hunts</t>
  </si>
  <si>
    <t>Walter Reed</t>
  </si>
  <si>
    <t>lace bleacher</t>
  </si>
  <si>
    <t>Powers</t>
  </si>
  <si>
    <t>Leonard Joseph</t>
  </si>
  <si>
    <t>engineers apprentice</t>
  </si>
  <si>
    <t>Reed</t>
  </si>
  <si>
    <t>HD5</t>
  </si>
  <si>
    <t>Gunn</t>
  </si>
  <si>
    <t>Sports manuf</t>
  </si>
  <si>
    <t>ann Elizabeth</t>
  </si>
  <si>
    <t>Mary Florence</t>
  </si>
  <si>
    <t>Hmphreys</t>
  </si>
  <si>
    <t>Tagg</t>
  </si>
  <si>
    <t>Annie Francis</t>
  </si>
  <si>
    <t>HD6</t>
  </si>
  <si>
    <t>Duery</t>
  </si>
  <si>
    <t>HD7</t>
  </si>
  <si>
    <t>Widdowson</t>
  </si>
  <si>
    <t>G W</t>
  </si>
  <si>
    <t>Retired farmer</t>
  </si>
  <si>
    <t>John B</t>
  </si>
  <si>
    <t>HD8</t>
  </si>
  <si>
    <t>Cricket bat maker</t>
  </si>
  <si>
    <t>cricket bat maker</t>
  </si>
  <si>
    <t>Harold</t>
  </si>
  <si>
    <t>Stuart</t>
  </si>
  <si>
    <t>Jack</t>
  </si>
  <si>
    <t>Stokes</t>
  </si>
  <si>
    <t>HD9</t>
  </si>
  <si>
    <t>Collins</t>
  </si>
  <si>
    <t>manu hosiery</t>
  </si>
  <si>
    <t>assist house ?</t>
  </si>
  <si>
    <t>Mother</t>
  </si>
  <si>
    <t>Mech Eng</t>
  </si>
  <si>
    <t>Motor garage</t>
  </si>
  <si>
    <t>HD10</t>
  </si>
  <si>
    <t>Sansom</t>
  </si>
  <si>
    <t>Telephone hand</t>
  </si>
  <si>
    <t>finisher</t>
  </si>
  <si>
    <t>French polisher</t>
  </si>
  <si>
    <t>telephone workes</t>
  </si>
  <si>
    <t>Motor driver</t>
  </si>
  <si>
    <t>motor carriage works</t>
  </si>
  <si>
    <t>Pinnie</t>
  </si>
  <si>
    <t>blouse making</t>
  </si>
  <si>
    <t>Errand girl</t>
  </si>
  <si>
    <t>Brewers Bottlers</t>
  </si>
  <si>
    <t>Ivy</t>
  </si>
  <si>
    <t>grandchild</t>
  </si>
  <si>
    <t>HD11</t>
  </si>
  <si>
    <t>Buxton</t>
  </si>
  <si>
    <t>Roper</t>
  </si>
  <si>
    <t>Carpentry traveller</t>
  </si>
  <si>
    <t>Carpentry</t>
  </si>
  <si>
    <t>Drayton Arthur</t>
  </si>
  <si>
    <t>Commercial Traveller</t>
  </si>
  <si>
    <t>Leslie Frank R</t>
  </si>
  <si>
    <t>School boy</t>
  </si>
  <si>
    <t>Rennacher</t>
  </si>
  <si>
    <t>boarder</t>
  </si>
  <si>
    <t>Lace maker finisher</t>
  </si>
  <si>
    <t>Austria</t>
  </si>
  <si>
    <t>Fraser</t>
  </si>
  <si>
    <t>Ester Victoria</t>
  </si>
  <si>
    <t>HD12</t>
  </si>
  <si>
    <t>Florence Beatrice</t>
  </si>
  <si>
    <t>Commercial traveller</t>
  </si>
  <si>
    <t>Furnishings</t>
  </si>
  <si>
    <t>Louisa Marjorie</t>
  </si>
  <si>
    <t>Florence Betty</t>
  </si>
  <si>
    <t>1 month</t>
  </si>
  <si>
    <t>Bayro</t>
  </si>
  <si>
    <t>Maternity Nurse</t>
  </si>
  <si>
    <t>Salop</t>
  </si>
  <si>
    <t>Goodman</t>
  </si>
  <si>
    <t>Leeds</t>
  </si>
  <si>
    <t>HD13</t>
  </si>
  <si>
    <t>Messom</t>
  </si>
  <si>
    <t>Independent means</t>
  </si>
  <si>
    <t>Louisa Adelaide</t>
  </si>
  <si>
    <t>John Frederick Mason</t>
  </si>
  <si>
    <t>HD14</t>
  </si>
  <si>
    <t>Lighting</t>
  </si>
  <si>
    <t>Edgar</t>
  </si>
  <si>
    <t>Page</t>
  </si>
  <si>
    <t>Algernon Fontain</t>
  </si>
  <si>
    <t>Surgeon</t>
  </si>
  <si>
    <t>HD15</t>
  </si>
  <si>
    <t>Cooper</t>
  </si>
  <si>
    <t>Henry Francs</t>
  </si>
  <si>
    <t>Bank inspector of branches</t>
  </si>
  <si>
    <t>Notts Bank</t>
  </si>
  <si>
    <t>Margaret Mand Marion</t>
  </si>
  <si>
    <t>Asley</t>
  </si>
  <si>
    <t>HD16</t>
  </si>
  <si>
    <t>Frederick Chapman</t>
  </si>
  <si>
    <t>Law clerk</t>
  </si>
  <si>
    <t>Emily Mary</t>
  </si>
  <si>
    <t>Hewitt</t>
  </si>
  <si>
    <t>HD17</t>
  </si>
  <si>
    <t>Baldock</t>
  </si>
  <si>
    <t>Arthur Henry</t>
  </si>
  <si>
    <t>Lace warehouseman</t>
  </si>
  <si>
    <t>Fancynet dept</t>
  </si>
  <si>
    <t>Sydney Arthur</t>
  </si>
  <si>
    <t>Veiling dept</t>
  </si>
  <si>
    <t>Dora Hilda</t>
  </si>
  <si>
    <t>Clara Maria</t>
  </si>
  <si>
    <t>Milliner</t>
  </si>
  <si>
    <t>Gladys Mary Phillis</t>
  </si>
  <si>
    <t>Margerike Annie</t>
  </si>
  <si>
    <t>Grace Elizabeth</t>
  </si>
  <si>
    <t>HD18</t>
  </si>
  <si>
    <t>Hickson</t>
  </si>
  <si>
    <t>Walter Owen</t>
  </si>
  <si>
    <t>Architect/ surveyor</t>
  </si>
  <si>
    <t>HD19</t>
  </si>
  <si>
    <t>Frank</t>
  </si>
  <si>
    <t>Hosier</t>
  </si>
  <si>
    <t>Hosiery manu</t>
  </si>
  <si>
    <t xml:space="preserve">Annie </t>
  </si>
  <si>
    <t>Shop Assist</t>
  </si>
  <si>
    <t>Ladies outfitting</t>
  </si>
  <si>
    <t>Parnham</t>
  </si>
  <si>
    <t>Polly</t>
  </si>
  <si>
    <t>Itter</t>
  </si>
  <si>
    <t>William Robert</t>
  </si>
  <si>
    <t>Ladies Blouse Manuf</t>
  </si>
  <si>
    <t>Roland Russell</t>
  </si>
  <si>
    <t>HD20</t>
  </si>
  <si>
    <t xml:space="preserve">Muller </t>
  </si>
  <si>
    <t>Frederic Blaise</t>
  </si>
  <si>
    <t>Clerk in Holy orders</t>
  </si>
  <si>
    <t>Eskef Church?</t>
  </si>
  <si>
    <t>two dots above u in Muller</t>
  </si>
  <si>
    <t>Evelyn Aylis</t>
  </si>
  <si>
    <t>Alice Elizabeth</t>
  </si>
  <si>
    <t>Mabel Constance</t>
  </si>
  <si>
    <t>Sister in Law</t>
  </si>
  <si>
    <t>Brimfeld</t>
  </si>
  <si>
    <t>Ada Winifred Bessie</t>
  </si>
  <si>
    <t>Showroom Assistant</t>
  </si>
  <si>
    <t>Millinery</t>
  </si>
  <si>
    <t>comparison</t>
  </si>
  <si>
    <t>ID</t>
  </si>
  <si>
    <t>Houses</t>
  </si>
  <si>
    <t>LastNames #</t>
  </si>
  <si>
    <t xml:space="preserve"> Married yrs (some Women only)</t>
  </si>
  <si>
    <t>Children born (some Women only)</t>
  </si>
  <si>
    <t>Children living (some Women only)</t>
  </si>
  <si>
    <t>Birthplace</t>
  </si>
  <si>
    <t xml:space="preserve">HEAD women </t>
  </si>
  <si>
    <t>See separate table</t>
  </si>
  <si>
    <t>check</t>
  </si>
  <si>
    <t>Pelham Cres</t>
  </si>
  <si>
    <t>WT</t>
  </si>
  <si>
    <t>Western Terr</t>
  </si>
  <si>
    <t>NR</t>
  </si>
  <si>
    <t>LC</t>
  </si>
  <si>
    <t>NC</t>
  </si>
  <si>
    <t>Newcastle Circtus</t>
  </si>
  <si>
    <t>PD</t>
  </si>
  <si>
    <t>PeD</t>
  </si>
  <si>
    <t>LA</t>
  </si>
  <si>
    <t>Lenton Ave</t>
  </si>
  <si>
    <t>CRW</t>
  </si>
  <si>
    <t>Clumber Rd W</t>
  </si>
  <si>
    <t>MR</t>
  </si>
  <si>
    <t>Maxtoke Rd</t>
  </si>
  <si>
    <t>CCS</t>
  </si>
  <si>
    <t>Clumber Cres S</t>
  </si>
  <si>
    <t>CCN</t>
  </si>
  <si>
    <t>Cavendish Cres N</t>
  </si>
  <si>
    <t>SR</t>
  </si>
  <si>
    <t>CaCs</t>
  </si>
  <si>
    <t>Cavendish Cres S</t>
  </si>
  <si>
    <t>HC</t>
  </si>
  <si>
    <t>LR</t>
  </si>
  <si>
    <t>HW</t>
  </si>
  <si>
    <t>KR</t>
  </si>
  <si>
    <t>FD</t>
  </si>
  <si>
    <t>HD</t>
  </si>
  <si>
    <t>Personaloccupation</t>
  </si>
  <si>
    <t>TOTAL OCCS (NOT SERVANTS)</t>
  </si>
  <si>
    <t>Accountant - book keeper, stockbroker</t>
  </si>
  <si>
    <t>Architect - surveyor</t>
  </si>
  <si>
    <t>Agent - colliery, estate, commission, real estate, property broker, assist</t>
  </si>
  <si>
    <t>Apprentice student governess, engineer</t>
  </si>
  <si>
    <t>Bank mgr, clerk, cashier, inspector</t>
  </si>
  <si>
    <t>Bricklayer - builder</t>
  </si>
  <si>
    <t>Coachman - groom</t>
  </si>
  <si>
    <t>Driver - motor</t>
  </si>
  <si>
    <t>chemist</t>
  </si>
  <si>
    <t>Clergy - clerk in holy orders</t>
  </si>
  <si>
    <t>Clerk - fancy gds, laturnery, estate agents, office boy, retail , errand girl, law, shop assist, showroom assist</t>
  </si>
  <si>
    <t>Companion - ladies</t>
  </si>
  <si>
    <t>Dental Surgeon</t>
  </si>
  <si>
    <t>Director- public co</t>
  </si>
  <si>
    <t>Domestic help (other than servant) - housekeeper, butler</t>
  </si>
  <si>
    <t>Draper, dressmaker</t>
  </si>
  <si>
    <t>farmer</t>
  </si>
  <si>
    <t>Foreman - cartons</t>
  </si>
  <si>
    <t xml:space="preserve"> horse depository foreman</t>
  </si>
  <si>
    <t>Engineer, iron founder engineer boiler maker, civil, mining, automobile, consulting, mech</t>
  </si>
  <si>
    <t>furnisher -colliery &amp; mill</t>
  </si>
  <si>
    <t>Gardener, yardman, caretaker</t>
  </si>
  <si>
    <t>Haulier - commercial</t>
  </si>
  <si>
    <t>Lacehand drawer finisher, Plain Net Mender, lace finisher, lace curtain folder, bleacher</t>
  </si>
  <si>
    <t>Machinist - sewing, blouse</t>
  </si>
  <si>
    <t>Manufacturer - blouse, blousehand, lace, agent, blouse , hosiery, assist, wicker, cotton, sports, cricket bat maker</t>
  </si>
  <si>
    <t>Medical - surgeon</t>
  </si>
  <si>
    <t>Mechanic</t>
  </si>
  <si>
    <t>Merchant - lace, shipping, corn, cigar, engineer</t>
  </si>
  <si>
    <t xml:space="preserve">Manager - brewery, </t>
  </si>
  <si>
    <t>Military</t>
  </si>
  <si>
    <t>Park-Keeper</t>
  </si>
  <si>
    <t>Police</t>
  </si>
  <si>
    <t>Printer, newspaper prop.</t>
  </si>
  <si>
    <t>Stock assist</t>
  </si>
  <si>
    <t>Surveyor - assist</t>
  </si>
  <si>
    <t>clothier, clothier assist, tailor, Seamstress, dressmaker, suit fitter</t>
  </si>
  <si>
    <t>Solicitor, articled clerk</t>
  </si>
  <si>
    <t>Teacher- instructress, head teacher, assistant teacher</t>
  </si>
  <si>
    <t>Secretary - Typist</t>
  </si>
  <si>
    <t>Traveller - commercial, carpentry</t>
  </si>
  <si>
    <t>Warehouse - lace</t>
  </si>
  <si>
    <t>SUBTOTAL</t>
  </si>
  <si>
    <t>CaCS</t>
  </si>
  <si>
    <t>total servants</t>
  </si>
  <si>
    <t>companion - ladies</t>
  </si>
  <si>
    <t>General Servant - helper, yardman, caretaker</t>
  </si>
  <si>
    <t>Housemaid - maid, sewing, ladies maid</t>
  </si>
  <si>
    <t xml:space="preserve">nurse - sick, lender, </t>
  </si>
  <si>
    <t>Parlour, serving maid</t>
  </si>
  <si>
    <t>subtotal</t>
  </si>
  <si>
    <t>Total POP</t>
  </si>
  <si>
    <t>Children, student</t>
  </si>
  <si>
    <t>Occupation</t>
  </si>
  <si>
    <t>P means</t>
  </si>
  <si>
    <t>economic non partic</t>
  </si>
  <si>
    <t>%</t>
  </si>
  <si>
    <t>template</t>
  </si>
</sst>
</file>

<file path=xl/styles.xml><?xml version="1.0" encoding="utf-8"?>
<styleSheet xmlns="http://schemas.openxmlformats.org/spreadsheetml/2006/main">
  <numFmts count="2">
    <numFmt numFmtId="0" formatCode="General"/>
    <numFmt numFmtId="59" formatCode="0.0"/>
  </numFmts>
  <fonts count="16">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2"/>
      <color indexed="8"/>
      <name val="Times New Roman"/>
    </font>
    <font>
      <b val="1"/>
      <sz val="12"/>
      <color indexed="13"/>
      <name val="Times New Roman"/>
    </font>
    <font>
      <sz val="12"/>
      <color indexed="13"/>
      <name val="Calibri"/>
    </font>
    <font>
      <sz val="12"/>
      <color indexed="13"/>
      <name val="Times New Roman"/>
    </font>
    <font>
      <sz val="12"/>
      <color indexed="16"/>
      <name val="Calibri"/>
    </font>
    <font>
      <b val="1"/>
      <sz val="12"/>
      <color indexed="8"/>
      <name val="Times New Roman"/>
    </font>
    <font>
      <b val="1"/>
      <sz val="12"/>
      <color indexed="13"/>
      <name val="Calibri"/>
    </font>
    <font>
      <sz val="11"/>
      <color indexed="8"/>
      <name val="Calibri"/>
    </font>
    <font>
      <b val="1"/>
      <sz val="12"/>
      <color indexed="8"/>
      <name val="Calibri"/>
    </font>
    <font>
      <i val="1"/>
      <sz val="12"/>
      <color indexed="8"/>
      <name val="Times New Roman"/>
    </font>
    <font>
      <i val="1"/>
      <sz val="12"/>
      <color indexed="8"/>
      <name val="Calibri"/>
    </font>
  </fonts>
  <fills count="1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62">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bottom/>
      <diagonal/>
    </border>
    <border>
      <left/>
      <right style="thin">
        <color indexed="12"/>
      </right>
      <top style="thin">
        <color indexed="12"/>
      </top>
      <bottom/>
      <diagonal/>
    </border>
    <border>
      <left style="thin">
        <color indexed="12"/>
      </left>
      <right/>
      <top/>
      <bottom style="thin">
        <color indexed="12"/>
      </bottom>
      <diagonal/>
    </border>
    <border>
      <left/>
      <right style="thin">
        <color indexed="12"/>
      </right>
      <top/>
      <bottom style="thin">
        <color indexed="12"/>
      </bottom>
      <diagonal/>
    </border>
    <border>
      <left style="thin">
        <color indexed="12"/>
      </left>
      <right/>
      <top style="thin">
        <color indexed="12"/>
      </top>
      <bottom/>
      <diagonal/>
    </border>
    <border>
      <left/>
      <right style="thin">
        <color indexed="12"/>
      </right>
      <top/>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diagonal/>
    </border>
    <border>
      <left/>
      <right style="thin">
        <color indexed="8"/>
      </right>
      <top/>
      <bottom/>
      <diagonal/>
    </border>
    <border>
      <left style="thin">
        <color indexed="8"/>
      </left>
      <right/>
      <top/>
      <bottom/>
      <diagonal/>
    </border>
    <border>
      <left style="thin">
        <color indexed="12"/>
      </left>
      <right style="thin">
        <color indexed="8"/>
      </right>
      <top/>
      <bottom style="thin">
        <color indexed="12"/>
      </bottom>
      <diagonal/>
    </border>
    <border>
      <left style="thin">
        <color indexed="8"/>
      </left>
      <right style="thin">
        <color indexed="12"/>
      </right>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right/>
      <top style="thin">
        <color indexed="12"/>
      </top>
      <bottom style="thin">
        <color indexed="12"/>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12"/>
      </right>
      <top style="medium">
        <color indexed="8"/>
      </top>
      <bottom style="medium">
        <color indexed="8"/>
      </bottom>
      <diagonal/>
    </border>
    <border>
      <left style="thin">
        <color indexed="12"/>
      </left>
      <right style="thin">
        <color indexed="8"/>
      </right>
      <top style="medium">
        <color indexed="8"/>
      </top>
      <bottom style="thin">
        <color indexed="8"/>
      </bottom>
      <diagonal/>
    </border>
    <border>
      <left style="thin">
        <color indexed="8"/>
      </left>
      <right style="thin">
        <color indexed="12"/>
      </right>
      <top style="medium">
        <color indexed="8"/>
      </top>
      <bottom style="thin">
        <color indexed="8"/>
      </bottom>
      <diagonal/>
    </border>
    <border>
      <left style="thin">
        <color indexed="12"/>
      </left>
      <right style="thin">
        <color indexed="12"/>
      </right>
      <top style="medium">
        <color indexed="8"/>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12"/>
      </top>
      <bottom style="medium">
        <color indexed="8"/>
      </bottom>
      <diagonal/>
    </border>
    <border>
      <left style="thin">
        <color indexed="8"/>
      </left>
      <right style="thin">
        <color indexed="12"/>
      </right>
      <top style="thin">
        <color indexed="12"/>
      </top>
      <bottom style="medium">
        <color indexed="8"/>
      </bottom>
      <diagonal/>
    </border>
    <border>
      <left style="thin">
        <color indexed="12"/>
      </left>
      <right style="thin">
        <color indexed="12"/>
      </right>
      <top style="thin">
        <color indexed="12"/>
      </top>
      <bottom style="medium">
        <color indexed="8"/>
      </bottom>
      <diagonal/>
    </border>
    <border>
      <left style="thin">
        <color indexed="8"/>
      </left>
      <right style="thin">
        <color indexed="8"/>
      </right>
      <top style="medium">
        <color indexed="8"/>
      </top>
      <bottom style="thin">
        <color indexed="12"/>
      </bottom>
      <diagonal/>
    </border>
    <border>
      <left style="thin">
        <color indexed="8"/>
      </left>
      <right style="thin">
        <color indexed="12"/>
      </right>
      <top style="medium">
        <color indexed="8"/>
      </top>
      <bottom style="thin">
        <color indexed="12"/>
      </bottom>
      <diagonal/>
    </border>
    <border>
      <left style="thin">
        <color indexed="12"/>
      </left>
      <right style="thin">
        <color indexed="12"/>
      </right>
      <top style="medium">
        <color indexed="8"/>
      </top>
      <bottom style="thin">
        <color indexed="12"/>
      </bottom>
      <diagonal/>
    </border>
    <border>
      <left style="thin">
        <color indexed="8"/>
      </left>
      <right style="thin">
        <color indexed="8"/>
      </right>
      <top style="thin">
        <color indexed="12"/>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8"/>
      </left>
      <right style="thin">
        <color indexed="12"/>
      </right>
      <top style="thin">
        <color indexed="8"/>
      </top>
      <bottom style="medium">
        <color indexed="8"/>
      </bottom>
      <diagonal/>
    </border>
    <border>
      <left style="thin">
        <color indexed="12"/>
      </left>
      <right style="thin">
        <color indexed="12"/>
      </right>
      <top style="thin">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top style="medium">
        <color indexed="8"/>
      </top>
      <bottom style="medium">
        <color indexed="8"/>
      </bottom>
      <diagonal/>
    </border>
    <border>
      <left/>
      <right style="thin">
        <color indexed="12"/>
      </right>
      <top style="medium">
        <color indexed="8"/>
      </top>
      <bottom style="medium">
        <color indexed="8"/>
      </bottom>
      <diagonal/>
    </border>
    <border>
      <left style="thin">
        <color indexed="12"/>
      </left>
      <right style="thin">
        <color indexed="12"/>
      </right>
      <top style="medium">
        <color indexed="8"/>
      </top>
      <bottom style="medium">
        <color indexed="8"/>
      </bottom>
      <diagonal/>
    </border>
    <border>
      <left style="thin">
        <color indexed="12"/>
      </left>
      <right style="thin">
        <color indexed="8"/>
      </right>
      <top style="medium">
        <color indexed="8"/>
      </top>
      <bottom style="thin">
        <color indexed="12"/>
      </bottom>
      <diagonal/>
    </border>
    <border>
      <left style="thin">
        <color indexed="8"/>
      </left>
      <right style="thin">
        <color indexed="12"/>
      </right>
      <top style="thin">
        <color indexed="12"/>
      </top>
      <bottom style="thin">
        <color indexed="8"/>
      </bottom>
      <diagonal/>
    </border>
    <border>
      <left style="thin">
        <color indexed="12"/>
      </left>
      <right/>
      <top/>
      <bottom style="thin">
        <color indexed="8"/>
      </bottom>
      <diagonal/>
    </border>
    <border>
      <left/>
      <right/>
      <top/>
      <bottom style="thin">
        <color indexed="8"/>
      </bottom>
      <diagonal/>
    </border>
    <border>
      <left/>
      <right style="thin">
        <color indexed="12"/>
      </right>
      <top style="thin">
        <color indexed="12"/>
      </top>
      <bottom style="thin">
        <color indexed="8"/>
      </bottom>
      <diagonal/>
    </border>
    <border>
      <left style="thin">
        <color indexed="12"/>
      </left>
      <right/>
      <top style="thin">
        <color indexed="12"/>
      </top>
      <bottom style="thin">
        <color indexed="8"/>
      </bottom>
      <diagonal/>
    </border>
    <border>
      <left style="thin">
        <color indexed="12"/>
      </left>
      <right style="thin">
        <color indexed="8"/>
      </right>
      <top style="thin">
        <color indexed="8"/>
      </top>
      <bottom style="thin">
        <color indexed="12"/>
      </bottom>
      <diagonal/>
    </border>
    <border>
      <left style="thin">
        <color indexed="12"/>
      </left>
      <right style="thin">
        <color indexed="8"/>
      </right>
      <top style="thin">
        <color indexed="12"/>
      </top>
      <bottom style="thin">
        <color indexed="8"/>
      </bottom>
      <diagonal/>
    </border>
    <border>
      <left style="thin">
        <color indexed="12"/>
      </left>
      <right style="thin">
        <color indexed="8"/>
      </right>
      <top style="thin">
        <color indexed="8"/>
      </top>
      <bottom style="thin">
        <color indexed="8"/>
      </bottom>
      <diagonal/>
    </border>
    <border>
      <left style="thin">
        <color indexed="12"/>
      </left>
      <right style="thin">
        <color indexed="8"/>
      </right>
      <top style="medium">
        <color indexed="8"/>
      </top>
      <bottom style="medium">
        <color indexed="8"/>
      </bottom>
      <diagonal/>
    </border>
  </borders>
  <cellStyleXfs count="1">
    <xf numFmtId="0" fontId="0" applyNumberFormat="0" applyFont="1" applyFill="0" applyBorder="0" applyAlignment="1" applyProtection="0">
      <alignment vertical="bottom"/>
    </xf>
  </cellStyleXfs>
  <cellXfs count="369">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1" applyNumberFormat="1" applyFont="1" applyFill="0" applyBorder="1" applyAlignment="1" applyProtection="0">
      <alignment vertical="bottom"/>
    </xf>
    <xf numFmtId="2"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4" borderId="2" applyNumberFormat="1" applyFont="1" applyFill="1" applyBorder="1" applyAlignment="1" applyProtection="0">
      <alignment vertical="bottom"/>
    </xf>
    <xf numFmtId="49" fontId="0" fillId="4" borderId="1" applyNumberFormat="1" applyFont="1" applyFill="1" applyBorder="1" applyAlignment="1" applyProtection="0">
      <alignment vertical="bottom"/>
    </xf>
    <xf numFmtId="49" fontId="0" fillId="4" borderId="1" applyNumberFormat="1" applyFont="1" applyFill="1" applyBorder="1" applyAlignment="1" applyProtection="0">
      <alignment vertical="bottom" wrapText="1"/>
    </xf>
    <xf numFmtId="0" fontId="0" fillId="4" borderId="1" applyNumberFormat="0" applyFont="1" applyFill="1" applyBorder="1" applyAlignment="1" applyProtection="0">
      <alignment vertical="bottom" wrapText="1"/>
    </xf>
    <xf numFmtId="49" fontId="0" fillId="4" borderId="2" applyNumberFormat="1" applyFont="1" applyFill="1" applyBorder="1" applyAlignment="1" applyProtection="0">
      <alignment vertical="bottom" wrapText="1"/>
    </xf>
    <xf numFmtId="0" fontId="0" fillId="4" borderId="1" applyNumberFormat="0" applyFont="1" applyFill="1" applyBorder="1" applyAlignment="1" applyProtection="0">
      <alignment vertical="bottom"/>
    </xf>
    <xf numFmtId="49" fontId="5" fillId="5" borderId="3" applyNumberFormat="1" applyFont="1" applyFill="1" applyBorder="1" applyAlignment="1" applyProtection="0">
      <alignment vertical="bottom" wrapText="1"/>
    </xf>
    <xf numFmtId="49" fontId="5" fillId="6" borderId="4" applyNumberFormat="1" applyFont="1" applyFill="1" applyBorder="1" applyAlignment="1" applyProtection="0">
      <alignment vertical="bottom" wrapText="1"/>
    </xf>
    <xf numFmtId="0" fontId="0" fillId="4" borderId="5" applyNumberFormat="0" applyFont="1" applyFill="1" applyBorder="1" applyAlignment="1" applyProtection="0">
      <alignment vertical="bottom"/>
    </xf>
    <xf numFmtId="49" fontId="0" fillId="4" borderId="6" applyNumberFormat="1" applyFont="1" applyFill="1" applyBorder="1" applyAlignment="1" applyProtection="0">
      <alignment vertical="bottom" wrapText="1"/>
    </xf>
    <xf numFmtId="49" fontId="0" fillId="7" borderId="4" applyNumberFormat="1" applyFont="1" applyFill="1" applyBorder="1" applyAlignment="1" applyProtection="0">
      <alignment vertical="bottom" wrapText="1"/>
    </xf>
    <xf numFmtId="49" fontId="0" fillId="4" borderId="5" applyNumberFormat="1" applyFont="1" applyFill="1" applyBorder="1" applyAlignment="1" applyProtection="0">
      <alignment vertical="bottom" wrapText="1"/>
    </xf>
    <xf numFmtId="49" fontId="0" fillId="8" borderId="4" applyNumberFormat="1" applyFont="1" applyFill="1" applyBorder="1" applyAlignment="1" applyProtection="0">
      <alignment vertical="bottom" wrapText="1"/>
    </xf>
    <xf numFmtId="49" fontId="0" fillId="9" borderId="4" applyNumberFormat="1" applyFont="1" applyFill="1" applyBorder="1" applyAlignment="1" applyProtection="0">
      <alignment vertical="bottom" wrapText="1"/>
    </xf>
    <xf numFmtId="49" fontId="0" fillId="10" borderId="4" applyNumberFormat="1" applyFont="1" applyFill="1" applyBorder="1" applyAlignment="1" applyProtection="0">
      <alignment vertical="bottom" wrapText="1"/>
    </xf>
    <xf numFmtId="49" fontId="6" fillId="11" borderId="4" applyNumberFormat="1" applyFont="1" applyFill="1" applyBorder="1" applyAlignment="1" applyProtection="0">
      <alignment vertical="bottom"/>
    </xf>
    <xf numFmtId="0" fontId="0" fillId="4" borderId="5" applyNumberFormat="0" applyFont="1" applyFill="1" applyBorder="1" applyAlignment="1" applyProtection="0">
      <alignment vertical="bottom" wrapText="1"/>
    </xf>
    <xf numFmtId="0" fontId="0" fillId="4" borderId="1" applyNumberFormat="1" applyFont="1" applyFill="1" applyBorder="1" applyAlignment="1" applyProtection="0">
      <alignment vertical="bottom"/>
    </xf>
    <xf numFmtId="49" fontId="0" fillId="4" borderId="7" applyNumberFormat="1" applyFont="1" applyFill="1" applyBorder="1" applyAlignment="1" applyProtection="0">
      <alignment vertical="bottom"/>
    </xf>
    <xf numFmtId="0" fontId="0" fillId="4" borderId="7" applyNumberFormat="0" applyFont="1" applyFill="1" applyBorder="1" applyAlignment="1" applyProtection="0">
      <alignment vertical="bottom"/>
    </xf>
    <xf numFmtId="0" fontId="0" fillId="4" borderId="1" applyNumberFormat="1" applyFont="1" applyFill="1" applyBorder="1" applyAlignment="1" applyProtection="0">
      <alignment vertical="bottom" wrapText="1"/>
    </xf>
    <xf numFmtId="0" fontId="0" fillId="4" borderId="7" applyNumberFormat="1" applyFont="1" applyFill="1" applyBorder="1" applyAlignment="1" applyProtection="0">
      <alignment vertical="bottom" wrapText="1"/>
    </xf>
    <xf numFmtId="0" fontId="0" fillId="4" borderId="8" applyNumberFormat="1" applyFont="1" applyFill="1" applyBorder="1" applyAlignment="1" applyProtection="0">
      <alignment vertical="bottom" wrapText="1"/>
    </xf>
    <xf numFmtId="0" fontId="5" fillId="4" borderId="1" applyNumberFormat="1" applyFont="1" applyFill="1" applyBorder="1" applyAlignment="1" applyProtection="0">
      <alignment vertical="bottom" wrapText="1"/>
    </xf>
    <xf numFmtId="0" fontId="5" fillId="4" borderId="1" applyNumberFormat="0" applyFont="1" applyFill="1" applyBorder="1" applyAlignment="1" applyProtection="0">
      <alignment vertical="bottom" wrapText="1"/>
    </xf>
    <xf numFmtId="0" fontId="0" fillId="4" borderId="6" applyNumberFormat="1" applyFont="1" applyFill="1" applyBorder="1" applyAlignment="1" applyProtection="0">
      <alignment vertical="bottom"/>
    </xf>
    <xf numFmtId="0" fontId="5" fillId="9" borderId="4" applyNumberFormat="1" applyFont="1" applyFill="1" applyBorder="1" applyAlignment="1" applyProtection="0">
      <alignment vertical="bottom" wrapText="1"/>
    </xf>
    <xf numFmtId="0" fontId="5" fillId="4" borderId="9" applyNumberFormat="1" applyFont="1" applyFill="1" applyBorder="1" applyAlignment="1" applyProtection="0">
      <alignment vertical="bottom" wrapText="1"/>
    </xf>
    <xf numFmtId="0" fontId="5" fillId="4" borderId="10" applyNumberFormat="1" applyFont="1" applyFill="1" applyBorder="1" applyAlignment="1" applyProtection="0">
      <alignment vertical="bottom" wrapText="1"/>
    </xf>
    <xf numFmtId="0" fontId="5" fillId="10" borderId="4" applyNumberFormat="1" applyFont="1" applyFill="1" applyBorder="1" applyAlignment="1" applyProtection="0">
      <alignment vertical="bottom" wrapText="1"/>
    </xf>
    <xf numFmtId="0" fontId="5" fillId="4" borderId="5" applyNumberFormat="1" applyFont="1" applyFill="1" applyBorder="1" applyAlignment="1" applyProtection="0">
      <alignment vertical="bottom" wrapText="1"/>
    </xf>
    <xf numFmtId="0" fontId="5" fillId="4" borderId="6" applyNumberFormat="1" applyFont="1" applyFill="1" applyBorder="1" applyAlignment="1" applyProtection="0">
      <alignment vertical="bottom" wrapText="1"/>
    </xf>
    <xf numFmtId="49" fontId="0" fillId="5" borderId="3" applyNumberFormat="1" applyFont="1" applyFill="1" applyBorder="1" applyAlignment="1" applyProtection="0">
      <alignment vertical="bottom"/>
    </xf>
    <xf numFmtId="0" fontId="5" fillId="4" borderId="2" applyNumberFormat="1" applyFont="1" applyFill="1" applyBorder="1" applyAlignment="1" applyProtection="0">
      <alignment vertical="bottom" wrapText="1"/>
    </xf>
    <xf numFmtId="0" fontId="5" fillId="4" borderId="7" applyNumberFormat="1" applyFont="1" applyFill="1" applyBorder="1" applyAlignment="1" applyProtection="0">
      <alignment vertical="bottom" wrapText="1"/>
    </xf>
    <xf numFmtId="49" fontId="5" fillId="4" borderId="1" applyNumberFormat="1" applyFont="1" applyFill="1" applyBorder="1" applyAlignment="1" applyProtection="0">
      <alignment vertical="bottom" wrapText="1"/>
    </xf>
    <xf numFmtId="0" fontId="0" fillId="4" borderId="2" applyNumberFormat="1" applyFont="1" applyFill="1" applyBorder="1" applyAlignment="1" applyProtection="0">
      <alignment vertical="bottom"/>
    </xf>
    <xf numFmtId="0" fontId="0" fillId="7" borderId="4" applyNumberFormat="1" applyFont="1" applyFill="1" applyBorder="1" applyAlignment="1" applyProtection="0">
      <alignment vertical="bottom"/>
    </xf>
    <xf numFmtId="0" fontId="0" fillId="4" borderId="5" applyNumberFormat="1" applyFont="1" applyFill="1" applyBorder="1" applyAlignment="1" applyProtection="0">
      <alignment vertical="bottom"/>
    </xf>
    <xf numFmtId="0" fontId="5" fillId="4" borderId="3" applyNumberFormat="1" applyFont="1" applyFill="1" applyBorder="1" applyAlignment="1" applyProtection="0">
      <alignment vertical="bottom" wrapText="1"/>
    </xf>
    <xf numFmtId="0" fontId="7" fillId="11" borderId="4" applyNumberFormat="1" applyFont="1" applyFill="1" applyBorder="1" applyAlignment="1" applyProtection="0">
      <alignment vertical="bottom"/>
    </xf>
    <xf numFmtId="0" fontId="0" fillId="4" borderId="7" applyNumberFormat="1" applyFont="1" applyFill="1" applyBorder="1" applyAlignment="1" applyProtection="0">
      <alignment vertical="bottom"/>
    </xf>
    <xf numFmtId="0" fontId="5" fillId="4" borderId="11" applyNumberFormat="1" applyFont="1" applyFill="1" applyBorder="1" applyAlignment="1" applyProtection="0">
      <alignment vertical="bottom" wrapText="1"/>
    </xf>
    <xf numFmtId="0" fontId="5" fillId="4" borderId="6" applyNumberFormat="0" applyFont="1" applyFill="1" applyBorder="1" applyAlignment="1" applyProtection="0">
      <alignment vertical="bottom" wrapText="1"/>
    </xf>
    <xf numFmtId="0" fontId="8" fillId="11" borderId="4" applyNumberFormat="1" applyFont="1" applyFill="1" applyBorder="1" applyAlignment="1" applyProtection="0">
      <alignment vertical="bottom" wrapText="1"/>
    </xf>
    <xf numFmtId="0" fontId="5" fillId="4" borderId="5" applyNumberFormat="0" applyFont="1" applyFill="1" applyBorder="1" applyAlignment="1" applyProtection="0">
      <alignment vertical="bottom" wrapText="1"/>
    </xf>
    <xf numFmtId="0" fontId="5" fillId="4" borderId="7" applyNumberFormat="0" applyFont="1" applyFill="1" applyBorder="1" applyAlignment="1" applyProtection="0">
      <alignment vertical="bottom" wrapText="1"/>
    </xf>
    <xf numFmtId="0" fontId="0" fillId="4" borderId="12" applyNumberFormat="1" applyFont="1" applyFill="1" applyBorder="1" applyAlignment="1" applyProtection="0">
      <alignment vertical="bottom"/>
    </xf>
    <xf numFmtId="0" fontId="5" fillId="8" borderId="4" applyNumberFormat="1" applyFont="1" applyFill="1" applyBorder="1" applyAlignment="1" applyProtection="0">
      <alignment vertical="bottom" wrapText="1"/>
    </xf>
    <xf numFmtId="0" fontId="5" fillId="4" borderId="11" applyNumberFormat="0" applyFont="1" applyFill="1" applyBorder="1" applyAlignment="1" applyProtection="0">
      <alignment vertical="bottom" wrapText="1"/>
    </xf>
    <xf numFmtId="0" fontId="5" fillId="4" borderId="2" applyNumberFormat="0" applyFont="1" applyFill="1" applyBorder="1" applyAlignment="1" applyProtection="0">
      <alignment vertical="bottom" wrapText="1"/>
    </xf>
    <xf numFmtId="0" fontId="0" fillId="4" borderId="2"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5" fillId="4" borderId="12" applyNumberFormat="0" applyFont="1" applyFill="1" applyBorder="1" applyAlignment="1" applyProtection="0">
      <alignment vertical="bottom" wrapText="1"/>
    </xf>
    <xf numFmtId="0" fontId="5" fillId="4" borderId="13" applyNumberFormat="0" applyFont="1" applyFill="1" applyBorder="1" applyAlignment="1" applyProtection="0">
      <alignment vertical="bottom" wrapText="1"/>
    </xf>
    <xf numFmtId="49" fontId="0" fillId="6" borderId="3" applyNumberFormat="1" applyFont="1" applyFill="1" applyBorder="1" applyAlignment="1" applyProtection="0">
      <alignment vertical="bottom"/>
    </xf>
    <xf numFmtId="0" fontId="5" fillId="4" borderId="12" applyNumberFormat="1" applyFont="1" applyFill="1" applyBorder="1" applyAlignment="1" applyProtection="0">
      <alignment vertical="bottom" wrapText="1"/>
    </xf>
    <xf numFmtId="0" fontId="5" fillId="4" borderId="8" applyNumberFormat="0" applyFont="1" applyFill="1" applyBorder="1" applyAlignment="1" applyProtection="0">
      <alignment vertical="bottom" wrapText="1"/>
    </xf>
    <xf numFmtId="49" fontId="9" fillId="4" borderId="1" applyNumberFormat="1" applyFont="1" applyFill="1" applyBorder="1" applyAlignment="1" applyProtection="0">
      <alignment vertical="bottom" wrapText="1"/>
    </xf>
    <xf numFmtId="0" fontId="5" fillId="4" borderId="10" applyNumberFormat="0" applyFont="1" applyFill="1" applyBorder="1" applyAlignment="1" applyProtection="0">
      <alignment vertical="bottom" wrapText="1"/>
    </xf>
    <xf numFmtId="0" fontId="0" fillId="8" borderId="4" applyNumberFormat="1" applyFont="1" applyFill="1" applyBorder="1" applyAlignment="1" applyProtection="0">
      <alignment vertical="bottom"/>
    </xf>
    <xf numFmtId="0" fontId="5" fillId="4" borderId="8" applyNumberFormat="1" applyFont="1" applyFill="1" applyBorder="1" applyAlignment="1" applyProtection="0">
      <alignment vertical="bottom" wrapText="1"/>
    </xf>
    <xf numFmtId="0" fontId="0" fillId="4" borderId="10"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1" fontId="0" fillId="4" borderId="1" applyNumberFormat="1" applyFont="1" applyFill="1" applyBorder="1" applyAlignment="1" applyProtection="0">
      <alignment vertical="bottom"/>
    </xf>
    <xf numFmtId="9" fontId="0" fillId="4" borderId="1" applyNumberFormat="1" applyFont="1" applyFill="1" applyBorder="1" applyAlignment="1" applyProtection="0">
      <alignment vertical="bottom"/>
    </xf>
    <xf numFmtId="49" fontId="0" fillId="7" borderId="4" applyNumberFormat="1" applyFont="1" applyFill="1" applyBorder="1" applyAlignment="1" applyProtection="0">
      <alignment vertical="bottom"/>
    </xf>
    <xf numFmtId="9" fontId="0" fillId="4" borderId="2" applyNumberFormat="1" applyFont="1" applyFill="1" applyBorder="1" applyAlignment="1" applyProtection="0">
      <alignment vertical="bottom"/>
    </xf>
    <xf numFmtId="9" fontId="0" fillId="4" borderId="7" applyNumberFormat="1" applyFont="1" applyFill="1" applyBorder="1" applyAlignment="1" applyProtection="0">
      <alignment vertical="bottom"/>
    </xf>
    <xf numFmtId="59" fontId="0"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12" borderId="4" applyNumberFormat="1" applyFont="1" applyFill="1" applyBorder="1" applyAlignment="1" applyProtection="0">
      <alignment vertical="bottom" wrapText="1"/>
    </xf>
    <xf numFmtId="49" fontId="0" fillId="8" borderId="8" applyNumberFormat="1" applyFont="1" applyFill="1" applyBorder="1" applyAlignment="1" applyProtection="0">
      <alignment vertical="bottom" wrapText="1"/>
    </xf>
    <xf numFmtId="49" fontId="0" fillId="9" borderId="8" applyNumberFormat="1" applyFont="1" applyFill="1" applyBorder="1" applyAlignment="1" applyProtection="0">
      <alignment vertical="bottom" wrapText="1"/>
    </xf>
    <xf numFmtId="49" fontId="0" fillId="10" borderId="8" applyNumberFormat="1" applyFont="1" applyFill="1" applyBorder="1" applyAlignment="1" applyProtection="0">
      <alignment vertical="bottom" wrapText="1"/>
    </xf>
    <xf numFmtId="49" fontId="6" fillId="11" borderId="8" applyNumberFormat="1" applyFont="1" applyFill="1" applyBorder="1" applyAlignment="1" applyProtection="0">
      <alignment vertical="bottom"/>
    </xf>
    <xf numFmtId="0" fontId="0" fillId="4" borderId="14" applyNumberFormat="0" applyFont="1" applyFill="1" applyBorder="1" applyAlignment="1" applyProtection="0">
      <alignment vertical="bottom" wrapText="1"/>
    </xf>
    <xf numFmtId="49" fontId="0" fillId="4" borderId="14" applyNumberFormat="1" applyFont="1" applyFill="1" applyBorder="1" applyAlignment="1" applyProtection="0">
      <alignment vertical="bottom" wrapText="1"/>
    </xf>
    <xf numFmtId="49" fontId="0" fillId="4" borderId="8" applyNumberFormat="1" applyFont="1" applyFill="1" applyBorder="1" applyAlignment="1" applyProtection="0">
      <alignment vertical="bottom"/>
    </xf>
    <xf numFmtId="0" fontId="0" fillId="4" borderId="2" applyNumberFormat="0" applyFont="1" applyFill="1" applyBorder="1" applyAlignment="1" applyProtection="0">
      <alignment vertical="bottom" wrapText="1"/>
    </xf>
    <xf numFmtId="0" fontId="0" fillId="4" borderId="2" applyNumberFormat="1" applyFont="1" applyFill="1" applyBorder="1" applyAlignment="1" applyProtection="0">
      <alignment vertical="bottom" wrapText="1"/>
    </xf>
    <xf numFmtId="0" fontId="0" fillId="4" borderId="8" applyNumberFormat="0" applyFont="1" applyFill="1" applyBorder="1" applyAlignment="1" applyProtection="0">
      <alignment vertical="bottom" wrapText="1"/>
    </xf>
    <xf numFmtId="0" fontId="0" fillId="4" borderId="15" applyNumberFormat="0" applyFont="1" applyFill="1" applyBorder="1" applyAlignment="1" applyProtection="0">
      <alignment vertical="bottom" wrapText="1"/>
    </xf>
    <xf numFmtId="0" fontId="0" fillId="4" borderId="16" applyNumberFormat="1" applyFont="1" applyFill="1" applyBorder="1" applyAlignment="1" applyProtection="0">
      <alignment vertical="bottom" wrapText="1"/>
    </xf>
    <xf numFmtId="0" fontId="0" fillId="4" borderId="16" applyNumberFormat="0" applyFont="1" applyFill="1" applyBorder="1" applyAlignment="1" applyProtection="0">
      <alignment vertical="bottom" wrapText="1"/>
    </xf>
    <xf numFmtId="0" fontId="0" fillId="4" borderId="17" applyNumberFormat="1" applyFont="1" applyFill="1" applyBorder="1" applyAlignment="1" applyProtection="0">
      <alignment vertical="bottom" wrapText="1"/>
    </xf>
    <xf numFmtId="49" fontId="0" fillId="4" borderId="3"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4"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0" fontId="0" fillId="4" borderId="18"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9"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6" applyNumberFormat="1" applyFont="1" applyFill="1" applyBorder="1" applyAlignment="1" applyProtection="0">
      <alignment vertical="bottom"/>
    </xf>
    <xf numFmtId="0" fontId="0" fillId="4" borderId="19" applyNumberFormat="1" applyFont="1" applyFill="1" applyBorder="1" applyAlignment="1" applyProtection="0">
      <alignment vertical="bottom"/>
    </xf>
    <xf numFmtId="0" fontId="0" fillId="4" borderId="20" applyNumberFormat="0" applyFont="1" applyFill="1" applyBorder="1" applyAlignment="1" applyProtection="0">
      <alignment vertical="bottom"/>
    </xf>
    <xf numFmtId="0" fontId="5" fillId="12" borderId="16" applyNumberFormat="1" applyFont="1" applyFill="1" applyBorder="1" applyAlignment="1" applyProtection="0">
      <alignment vertical="bottom" wrapText="1"/>
    </xf>
    <xf numFmtId="0" fontId="0" fillId="4" borderId="21" applyNumberFormat="1" applyFont="1" applyFill="1" applyBorder="1" applyAlignment="1" applyProtection="0">
      <alignment vertical="bottom"/>
    </xf>
    <xf numFmtId="0" fontId="0" fillId="4" borderId="22" applyNumberFormat="0" applyFont="1" applyFill="1" applyBorder="1" applyAlignment="1" applyProtection="0">
      <alignment vertical="bottom"/>
    </xf>
    <xf numFmtId="0" fontId="0" fillId="4" borderId="23" applyNumberFormat="1" applyFont="1" applyFill="1" applyBorder="1" applyAlignment="1" applyProtection="0">
      <alignment vertical="bottom"/>
    </xf>
    <xf numFmtId="0" fontId="0" fillId="4" borderId="23" applyNumberFormat="0" applyFont="1" applyFill="1" applyBorder="1" applyAlignment="1" applyProtection="0">
      <alignment vertical="bottom"/>
    </xf>
    <xf numFmtId="0" fontId="7" fillId="4" borderId="1" applyNumberFormat="0" applyFont="1" applyFill="1" applyBorder="1" applyAlignment="1" applyProtection="0">
      <alignment vertical="bottom"/>
    </xf>
    <xf numFmtId="0" fontId="8" fillId="4" borderId="1" applyNumberFormat="0" applyFont="1" applyFill="1" applyBorder="1" applyAlignment="1" applyProtection="0">
      <alignment vertical="bottom" wrapText="1"/>
    </xf>
    <xf numFmtId="49" fontId="0" fillId="4" borderId="22" applyNumberFormat="1" applyFont="1" applyFill="1" applyBorder="1" applyAlignment="1" applyProtection="0">
      <alignment vertical="bottom"/>
    </xf>
    <xf numFmtId="0" fontId="0" fillId="4" borderId="24" applyNumberFormat="1" applyFont="1" applyFill="1" applyBorder="1" applyAlignment="1" applyProtection="0">
      <alignment vertical="bottom"/>
    </xf>
    <xf numFmtId="49" fontId="10" fillId="4" borderId="1" applyNumberFormat="1" applyFont="1" applyFill="1" applyBorder="1" applyAlignment="1" applyProtection="0">
      <alignment vertical="bottom"/>
    </xf>
    <xf numFmtId="49" fontId="10" fillId="4"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0" borderId="2"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0" fillId="13" borderId="4" applyNumberFormat="1" applyFont="1" applyFill="1" applyBorder="1" applyAlignment="1" applyProtection="0">
      <alignment vertical="bottom" wrapText="1"/>
    </xf>
    <xf numFmtId="49" fontId="6" borderId="5" applyNumberFormat="1" applyFont="1" applyFill="0" applyBorder="1" applyAlignment="1" applyProtection="0">
      <alignment vertical="bottom"/>
    </xf>
    <xf numFmtId="49" fontId="0" borderId="7"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2" applyNumberFormat="1" applyFont="1" applyFill="0" applyBorder="1" applyAlignment="1" applyProtection="0">
      <alignment vertical="bottom"/>
    </xf>
    <xf numFmtId="49" fontId="0" fillId="4" borderId="6" applyNumberFormat="1" applyFont="1" applyFill="1" applyBorder="1" applyAlignment="1" applyProtection="0">
      <alignment vertical="bottom"/>
    </xf>
    <xf numFmtId="0" fontId="0" borderId="4" applyNumberFormat="0" applyFont="1" applyFill="0" applyBorder="1" applyAlignment="1" applyProtection="0">
      <alignment vertical="bottom"/>
    </xf>
    <xf numFmtId="49" fontId="0" fillId="4" borderId="25" applyNumberFormat="1" applyFont="1" applyFill="1" applyBorder="1" applyAlignment="1" applyProtection="0">
      <alignment vertical="bottom"/>
    </xf>
    <xf numFmtId="49" fontId="0" borderId="4" applyNumberFormat="1" applyFont="1" applyFill="0" applyBorder="1" applyAlignment="1" applyProtection="0">
      <alignment vertical="bottom"/>
    </xf>
    <xf numFmtId="0" fontId="0" borderId="4" applyNumberFormat="1" applyFont="1" applyFill="0" applyBorder="1" applyAlignment="1" applyProtection="0">
      <alignment vertical="bottom"/>
    </xf>
    <xf numFmtId="0" fontId="5" fillId="13" borderId="4" applyNumberFormat="0" applyFont="1" applyFill="1" applyBorder="1" applyAlignment="1" applyProtection="0">
      <alignment vertical="bottom" wrapText="1"/>
    </xf>
    <xf numFmtId="0" fontId="5" fillId="13" borderId="4" applyNumberFormat="1" applyFont="1" applyFill="1" applyBorder="1" applyAlignment="1" applyProtection="0">
      <alignment vertical="bottom" wrapText="1"/>
    </xf>
    <xf numFmtId="0" fontId="0" borderId="13"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0" borderId="8" applyNumberFormat="1" applyFont="1" applyFill="0" applyBorder="1" applyAlignment="1" applyProtection="0">
      <alignment vertical="bottom"/>
    </xf>
    <xf numFmtId="0" fontId="0" borderId="8"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0" borderId="7" applyNumberFormat="1" applyFont="1" applyFill="0" applyBorder="1" applyAlignment="1" applyProtection="0">
      <alignment vertical="bottom"/>
    </xf>
    <xf numFmtId="1" fontId="0" borderId="1" applyNumberFormat="1" applyFont="1" applyFill="0" applyBorder="1" applyAlignment="1" applyProtection="0">
      <alignment vertical="bottom"/>
    </xf>
    <xf numFmtId="0" fontId="10" borderId="1" applyNumberFormat="0" applyFont="1" applyFill="0" applyBorder="1" applyAlignment="1" applyProtection="0">
      <alignment vertical="bottom"/>
    </xf>
    <xf numFmtId="0" fontId="10" fillId="4"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7"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4" borderId="26" applyNumberFormat="1" applyFont="1" applyFill="1" applyBorder="1" applyAlignment="1" applyProtection="0">
      <alignment vertical="bottom"/>
    </xf>
    <xf numFmtId="49" fontId="0" fillId="4" borderId="26" applyNumberFormat="1" applyFont="1" applyFill="1" applyBorder="1" applyAlignment="1" applyProtection="0">
      <alignment vertical="bottom" wrapText="1"/>
    </xf>
    <xf numFmtId="49" fontId="0" fillId="5" borderId="27" applyNumberFormat="1" applyFont="1" applyFill="1" applyBorder="1" applyAlignment="1" applyProtection="0">
      <alignment vertical="bottom" wrapText="1"/>
    </xf>
    <xf numFmtId="49" fontId="0" fillId="6" borderId="28" applyNumberFormat="1" applyFont="1" applyFill="1" applyBorder="1" applyAlignment="1" applyProtection="0">
      <alignment vertical="bottom" wrapText="1"/>
    </xf>
    <xf numFmtId="0" fontId="0" fillId="4" borderId="28" applyNumberFormat="0" applyFont="1" applyFill="1" applyBorder="1" applyAlignment="1" applyProtection="0">
      <alignment vertical="bottom"/>
    </xf>
    <xf numFmtId="0" fontId="0" fillId="4" borderId="28" applyNumberFormat="0" applyFont="1" applyFill="1" applyBorder="1" applyAlignment="1" applyProtection="0">
      <alignment vertical="bottom" wrapText="1"/>
    </xf>
    <xf numFmtId="49" fontId="0" fillId="14" borderId="28" applyNumberFormat="1" applyFont="1" applyFill="1" applyBorder="1" applyAlignment="1" applyProtection="0">
      <alignment vertical="bottom" wrapText="1"/>
    </xf>
    <xf numFmtId="49" fontId="0" fillId="12" borderId="28" applyNumberFormat="1" applyFont="1" applyFill="1" applyBorder="1" applyAlignment="1" applyProtection="0">
      <alignment vertical="bottom" wrapText="1"/>
    </xf>
    <xf numFmtId="49" fontId="0" fillId="8" borderId="28" applyNumberFormat="1" applyFont="1" applyFill="1" applyBorder="1" applyAlignment="1" applyProtection="0">
      <alignment vertical="bottom" wrapText="1"/>
    </xf>
    <xf numFmtId="49" fontId="0" fillId="9" borderId="28" applyNumberFormat="1" applyFont="1" applyFill="1" applyBorder="1" applyAlignment="1" applyProtection="0">
      <alignment vertical="bottom" wrapText="1"/>
    </xf>
    <xf numFmtId="49" fontId="0" fillId="10" borderId="28" applyNumberFormat="1" applyFont="1" applyFill="1" applyBorder="1" applyAlignment="1" applyProtection="0">
      <alignment vertical="bottom" wrapText="1"/>
    </xf>
    <xf numFmtId="49" fontId="11" fillId="11" borderId="28" applyNumberFormat="1" applyFont="1" applyFill="1" applyBorder="1" applyAlignment="1" applyProtection="0">
      <alignment vertical="bottom"/>
    </xf>
    <xf numFmtId="0" fontId="0" fillId="4" borderId="29" applyNumberFormat="0" applyFont="1" applyFill="1" applyBorder="1" applyAlignment="1" applyProtection="0">
      <alignment vertical="bottom"/>
    </xf>
    <xf numFmtId="0" fontId="0" fillId="4" borderId="30" applyNumberFormat="0" applyFont="1" applyFill="1" applyBorder="1" applyAlignment="1" applyProtection="0">
      <alignment vertical="bottom"/>
    </xf>
    <xf numFmtId="49" fontId="0" fillId="4" borderId="16" applyNumberFormat="1" applyFont="1" applyFill="1" applyBorder="1" applyAlignment="1" applyProtection="0">
      <alignment vertical="bottom"/>
    </xf>
    <xf numFmtId="49" fontId="0" fillId="4" borderId="27" applyNumberFormat="1" applyFont="1" applyFill="1" applyBorder="1" applyAlignment="1" applyProtection="0">
      <alignment vertical="bottom"/>
    </xf>
    <xf numFmtId="0" fontId="0" fillId="4" borderId="27" applyNumberFormat="1" applyFont="1" applyFill="1" applyBorder="1" applyAlignment="1" applyProtection="0">
      <alignment vertical="bottom"/>
    </xf>
    <xf numFmtId="0" fontId="0" fillId="4" borderId="27" applyNumberFormat="0" applyFont="1" applyFill="1" applyBorder="1" applyAlignment="1" applyProtection="0">
      <alignment vertical="bottom"/>
    </xf>
    <xf numFmtId="49" fontId="0" fillId="4" borderId="27" applyNumberFormat="1" applyFont="1" applyFill="1" applyBorder="1" applyAlignment="1" applyProtection="0">
      <alignment vertical="bottom" wrapText="1"/>
    </xf>
    <xf numFmtId="0" fontId="0" fillId="4" borderId="27" applyNumberFormat="0" applyFont="1" applyFill="1" applyBorder="1" applyAlignment="1" applyProtection="0">
      <alignment vertical="bottom" wrapText="1"/>
    </xf>
    <xf numFmtId="0" fontId="0" fillId="4" borderId="27" applyNumberFormat="1" applyFont="1" applyFill="1" applyBorder="1" applyAlignment="1" applyProtection="0">
      <alignment vertical="bottom" wrapText="1"/>
    </xf>
    <xf numFmtId="0" fontId="0" fillId="4" borderId="31" applyNumberFormat="0" applyFont="1" applyFill="1" applyBorder="1" applyAlignment="1" applyProtection="0">
      <alignment vertical="bottom"/>
    </xf>
    <xf numFmtId="0" fontId="0" fillId="4" borderId="32" applyNumberFormat="0" applyFont="1" applyFill="1" applyBorder="1" applyAlignment="1" applyProtection="0">
      <alignment vertical="bottom"/>
    </xf>
    <xf numFmtId="49" fontId="0" fillId="4" borderId="16" applyNumberFormat="1" applyFont="1" applyFill="1" applyBorder="1" applyAlignment="1" applyProtection="0">
      <alignment vertical="bottom" wrapText="1"/>
    </xf>
    <xf numFmtId="0" fontId="0" fillId="10" borderId="16" applyNumberFormat="1" applyFont="1" applyFill="1" applyBorder="1" applyAlignment="1" applyProtection="0">
      <alignment vertical="bottom" wrapText="1"/>
    </xf>
    <xf numFmtId="0" fontId="0" fillId="4" borderId="33" applyNumberFormat="0" applyFont="1" applyFill="1" applyBorder="1" applyAlignment="1" applyProtection="0">
      <alignment vertical="bottom"/>
    </xf>
    <xf numFmtId="0" fontId="0" fillId="4" borderId="34"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0" fontId="0" fillId="4" borderId="35" applyNumberFormat="0" applyFont="1" applyFill="1" applyBorder="1" applyAlignment="1" applyProtection="0">
      <alignment vertical="bottom"/>
    </xf>
    <xf numFmtId="0" fontId="0" fillId="4" borderId="26" applyNumberFormat="1" applyFont="1" applyFill="1" applyBorder="1" applyAlignment="1" applyProtection="0">
      <alignment vertical="bottom"/>
    </xf>
    <xf numFmtId="0" fontId="0" fillId="4" borderId="26" applyNumberFormat="0" applyFont="1" applyFill="1" applyBorder="1" applyAlignment="1" applyProtection="0">
      <alignment vertical="bottom"/>
    </xf>
    <xf numFmtId="0" fontId="0" fillId="4" borderId="26" applyNumberFormat="1" applyFont="1" applyFill="1" applyBorder="1" applyAlignment="1" applyProtection="0">
      <alignment vertical="bottom" wrapText="1"/>
    </xf>
    <xf numFmtId="0" fontId="0" fillId="4" borderId="26" applyNumberFormat="0" applyFont="1" applyFill="1" applyBorder="1" applyAlignment="1" applyProtection="0">
      <alignment vertical="bottom" wrapText="1"/>
    </xf>
    <xf numFmtId="0" fontId="0" fillId="10" borderId="26" applyNumberFormat="1" applyFont="1" applyFill="1" applyBorder="1" applyAlignment="1" applyProtection="0">
      <alignment vertical="bottom" wrapText="1"/>
    </xf>
    <xf numFmtId="0" fontId="0" fillId="4" borderId="36" applyNumberFormat="0" applyFont="1" applyFill="1" applyBorder="1" applyAlignment="1" applyProtection="0">
      <alignment vertical="bottom"/>
    </xf>
    <xf numFmtId="0" fontId="0" fillId="4" borderId="37" applyNumberFormat="0" applyFont="1" applyFill="1" applyBorder="1" applyAlignment="1" applyProtection="0">
      <alignment vertical="bottom"/>
    </xf>
    <xf numFmtId="0" fontId="0" fillId="4" borderId="38" applyNumberFormat="0" applyFont="1" applyFill="1" applyBorder="1" applyAlignment="1" applyProtection="0">
      <alignment vertical="bottom"/>
    </xf>
    <xf numFmtId="49" fontId="0" fillId="4" borderId="39" applyNumberFormat="1" applyFont="1" applyFill="1" applyBorder="1" applyAlignment="1" applyProtection="0">
      <alignment vertical="bottom"/>
    </xf>
    <xf numFmtId="0" fontId="0" fillId="12" borderId="27" applyNumberFormat="1" applyFont="1" applyFill="1" applyBorder="1" applyAlignment="1" applyProtection="0">
      <alignment vertical="bottom" wrapText="1"/>
    </xf>
    <xf numFmtId="0" fontId="7" fillId="11" borderId="27" applyNumberFormat="1" applyFont="1" applyFill="1" applyBorder="1" applyAlignment="1" applyProtection="0">
      <alignment vertical="bottom" wrapText="1"/>
    </xf>
    <xf numFmtId="0" fontId="0" fillId="4" borderId="39" applyNumberFormat="0" applyFont="1" applyFill="1" applyBorder="1" applyAlignment="1" applyProtection="0">
      <alignment vertical="bottom"/>
    </xf>
    <xf numFmtId="0" fontId="0" fillId="4" borderId="40" applyNumberFormat="0" applyFont="1" applyFill="1" applyBorder="1" applyAlignment="1" applyProtection="0">
      <alignment vertical="bottom"/>
    </xf>
    <xf numFmtId="0" fontId="0" fillId="4" borderId="41" applyNumberFormat="0" applyFont="1" applyFill="1" applyBorder="1" applyAlignment="1" applyProtection="0">
      <alignment vertical="bottom"/>
    </xf>
    <xf numFmtId="49" fontId="0" fillId="4" borderId="35" applyNumberFormat="1" applyFont="1" applyFill="1" applyBorder="1" applyAlignment="1" applyProtection="0">
      <alignment vertical="bottom"/>
    </xf>
    <xf numFmtId="49" fontId="0" fillId="4" borderId="42" applyNumberFormat="1" applyFont="1" applyFill="1" applyBorder="1" applyAlignment="1" applyProtection="0">
      <alignment vertical="bottom" wrapText="1"/>
    </xf>
    <xf numFmtId="49" fontId="0" fillId="4" borderId="33" applyNumberFormat="1" applyFont="1" applyFill="1" applyBorder="1" applyAlignment="1" applyProtection="0">
      <alignment vertical="bottom"/>
    </xf>
    <xf numFmtId="49" fontId="0" fillId="4" borderId="36" applyNumberFormat="1" applyFont="1" applyFill="1" applyBorder="1" applyAlignment="1" applyProtection="0">
      <alignment vertical="bottom" wrapText="1"/>
    </xf>
    <xf numFmtId="0" fontId="0" fillId="9" borderId="16" applyNumberFormat="1" applyFont="1" applyFill="1" applyBorder="1" applyAlignment="1" applyProtection="0">
      <alignment vertical="bottom" wrapText="1"/>
    </xf>
    <xf numFmtId="0" fontId="0" fillId="8" borderId="16" applyNumberFormat="1" applyFont="1" applyFill="1" applyBorder="1" applyAlignment="1" applyProtection="0">
      <alignment vertical="bottom" wrapText="1"/>
    </xf>
    <xf numFmtId="0" fontId="7" fillId="4" borderId="16" applyNumberFormat="0" applyFont="1" applyFill="1" applyBorder="1" applyAlignment="1" applyProtection="0">
      <alignment vertical="bottom"/>
    </xf>
    <xf numFmtId="0" fontId="7" fillId="4" borderId="16" applyNumberFormat="0" applyFont="1" applyFill="1" applyBorder="1" applyAlignment="1" applyProtection="0">
      <alignment vertical="bottom" wrapText="1"/>
    </xf>
    <xf numFmtId="0" fontId="0" fillId="14" borderId="27" applyNumberFormat="1" applyFont="1" applyFill="1" applyBorder="1" applyAlignment="1" applyProtection="0">
      <alignment vertical="bottom"/>
    </xf>
    <xf numFmtId="0" fontId="0" fillId="14" borderId="16" applyNumberFormat="1" applyFont="1" applyFill="1" applyBorder="1" applyAlignment="1" applyProtection="0">
      <alignment vertical="bottom"/>
    </xf>
    <xf numFmtId="0" fontId="0" fillId="14" borderId="26" applyNumberFormat="1" applyFont="1" applyFill="1" applyBorder="1" applyAlignment="1" applyProtection="0">
      <alignment vertical="bottom"/>
    </xf>
    <xf numFmtId="0" fontId="0" fillId="8" borderId="26" applyNumberFormat="1" applyFont="1" applyFill="1" applyBorder="1" applyAlignment="1" applyProtection="0">
      <alignment vertical="bottom"/>
    </xf>
    <xf numFmtId="49" fontId="0" fillId="4" borderId="28" applyNumberFormat="1" applyFont="1" applyFill="1" applyBorder="1" applyAlignment="1" applyProtection="0">
      <alignment vertical="bottom"/>
    </xf>
    <xf numFmtId="0" fontId="0" fillId="10" borderId="16" applyNumberFormat="1" applyFont="1" applyFill="1" applyBorder="1" applyAlignment="1" applyProtection="0">
      <alignment vertical="bottom"/>
    </xf>
    <xf numFmtId="0" fontId="7" fillId="4" borderId="26" applyNumberFormat="0" applyFont="1" applyFill="1" applyBorder="1" applyAlignment="1" applyProtection="0">
      <alignment vertical="bottom"/>
    </xf>
    <xf numFmtId="0" fontId="0" fillId="8" borderId="16" applyNumberFormat="1" applyFont="1" applyFill="1" applyBorder="1" applyAlignment="1" applyProtection="0">
      <alignment vertical="bottom"/>
    </xf>
    <xf numFmtId="0" fontId="0" fillId="12" borderId="27" applyNumberFormat="1" applyFont="1" applyFill="1" applyBorder="1" applyAlignment="1" applyProtection="0">
      <alignment vertical="bottom"/>
    </xf>
    <xf numFmtId="0" fontId="0" fillId="10" borderId="27" applyNumberFormat="1" applyFont="1" applyFill="1" applyBorder="1" applyAlignment="1" applyProtection="0">
      <alignment vertical="bottom" wrapText="1"/>
    </xf>
    <xf numFmtId="49" fontId="12" fillId="4" borderId="27" applyNumberFormat="1" applyFont="1" applyFill="1" applyBorder="1" applyAlignment="1" applyProtection="0">
      <alignment vertical="bottom"/>
    </xf>
    <xf numFmtId="0" fontId="7" fillId="11" borderId="27" applyNumberFormat="1" applyFont="1" applyFill="1" applyBorder="1" applyAlignment="1" applyProtection="0">
      <alignment vertical="bottom"/>
    </xf>
    <xf numFmtId="0" fontId="0" fillId="4" borderId="43" applyNumberFormat="0" applyFont="1" applyFill="1" applyBorder="1" applyAlignment="1" applyProtection="0">
      <alignment vertical="bottom"/>
    </xf>
    <xf numFmtId="0" fontId="0" fillId="4" borderId="44" applyNumberFormat="0" applyFont="1" applyFill="1" applyBorder="1" applyAlignment="1" applyProtection="0">
      <alignment vertical="bottom"/>
    </xf>
    <xf numFmtId="0" fontId="0" fillId="4" borderId="45" applyNumberFormat="0" applyFont="1" applyFill="1" applyBorder="1" applyAlignment="1" applyProtection="0">
      <alignment vertical="bottom"/>
    </xf>
    <xf numFmtId="0" fontId="0" fillId="4" borderId="46" applyNumberFormat="0" applyFont="1" applyFill="1" applyBorder="1" applyAlignment="1" applyProtection="0">
      <alignment vertical="bottom"/>
    </xf>
    <xf numFmtId="49" fontId="0" fillId="4" borderId="47" applyNumberFormat="1" applyFont="1" applyFill="1" applyBorder="1" applyAlignment="1" applyProtection="0">
      <alignment vertical="bottom"/>
    </xf>
    <xf numFmtId="0" fontId="0" fillId="4" borderId="28" applyNumberFormat="1" applyFont="1" applyFill="1" applyBorder="1" applyAlignment="1" applyProtection="0">
      <alignment vertical="bottom"/>
    </xf>
    <xf numFmtId="0" fontId="0" fillId="15" borderId="28" applyNumberFormat="0" applyFont="1" applyFill="1" applyBorder="1" applyAlignment="1" applyProtection="0">
      <alignment vertical="bottom" wrapText="1"/>
    </xf>
    <xf numFmtId="0" fontId="0" fillId="4" borderId="48" applyNumberFormat="0" applyFont="1" applyFill="1" applyBorder="1" applyAlignment="1" applyProtection="0">
      <alignment vertical="bottom"/>
    </xf>
    <xf numFmtId="0" fontId="0" fillId="4" borderId="49" applyNumberFormat="0" applyFont="1" applyFill="1" applyBorder="1" applyAlignment="1" applyProtection="0">
      <alignment vertical="bottom"/>
    </xf>
    <xf numFmtId="0" fontId="0" fillId="4" borderId="50" applyNumberFormat="0" applyFont="1" applyFill="1" applyBorder="1" applyAlignment="1" applyProtection="0">
      <alignment vertical="bottom"/>
    </xf>
    <xf numFmtId="0" fontId="0" fillId="4" borderId="51" applyNumberFormat="0" applyFont="1" applyFill="1" applyBorder="1" applyAlignment="1" applyProtection="0">
      <alignment vertical="bottom"/>
    </xf>
    <xf numFmtId="0" fontId="0" fillId="4" borderId="52" applyNumberFormat="0" applyFont="1" applyFill="1" applyBorder="1" applyAlignment="1" applyProtection="0">
      <alignment vertical="bottom"/>
    </xf>
    <xf numFmtId="1" fontId="0" fillId="4" borderId="41" applyNumberFormat="1" applyFont="1" applyFill="1" applyBorder="1" applyAlignment="1" applyProtection="0">
      <alignment vertical="bottom"/>
    </xf>
    <xf numFmtId="0" fontId="0" fillId="4" borderId="41" applyNumberFormat="1" applyFont="1" applyFill="1" applyBorder="1" applyAlignment="1" applyProtection="0">
      <alignment vertical="bottom"/>
    </xf>
    <xf numFmtId="0" fontId="0" applyNumberFormat="1" applyFont="1" applyFill="0" applyBorder="0" applyAlignment="1" applyProtection="0">
      <alignment vertical="bottom"/>
    </xf>
    <xf numFmtId="0" fontId="7" fillId="4" borderId="27"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5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4" borderId="42" applyNumberFormat="1" applyFont="1" applyFill="1" applyBorder="1" applyAlignment="1" applyProtection="0">
      <alignment vertical="bottom"/>
    </xf>
    <xf numFmtId="0" fontId="7" fillId="11" borderId="16" applyNumberFormat="1" applyFont="1" applyFill="1" applyBorder="1" applyAlignment="1" applyProtection="0">
      <alignment vertical="bottom" wrapText="1"/>
    </xf>
    <xf numFmtId="0" fontId="0" fillId="4" borderId="42" applyNumberFormat="0" applyFont="1" applyFill="1" applyBorder="1" applyAlignment="1" applyProtection="0">
      <alignment vertical="bottom"/>
    </xf>
    <xf numFmtId="0" fontId="0" applyNumberFormat="1" applyFont="1" applyFill="0" applyBorder="0" applyAlignment="1" applyProtection="0">
      <alignment vertical="bottom"/>
    </xf>
    <xf numFmtId="49" fontId="5" fillId="5" borderId="54" applyNumberFormat="1" applyFont="1" applyFill="1" applyBorder="1" applyAlignment="1" applyProtection="0">
      <alignment vertical="bottom" wrapText="1"/>
    </xf>
    <xf numFmtId="49" fontId="5" fillId="6" borderId="55" applyNumberFormat="1" applyFont="1" applyFill="1" applyBorder="1" applyAlignment="1" applyProtection="0">
      <alignment vertical="bottom" wrapText="1"/>
    </xf>
    <xf numFmtId="0" fontId="0" borderId="56"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0" fillId="4" borderId="57" applyNumberFormat="1" applyFont="1" applyFill="1" applyBorder="1" applyAlignment="1" applyProtection="0">
      <alignment vertical="bottom" wrapText="1"/>
    </xf>
    <xf numFmtId="49" fontId="0" fillId="13" borderId="55" applyNumberFormat="1" applyFont="1" applyFill="1" applyBorder="1" applyAlignment="1" applyProtection="0">
      <alignment vertical="bottom" wrapText="1"/>
    </xf>
    <xf numFmtId="49" fontId="0" fillId="4" borderId="56" applyNumberFormat="1" applyFont="1" applyFill="1" applyBorder="1" applyAlignment="1" applyProtection="0">
      <alignment vertical="bottom" wrapText="1"/>
    </xf>
    <xf numFmtId="49" fontId="0" fillId="8" borderId="55" applyNumberFormat="1" applyFont="1" applyFill="1" applyBorder="1" applyAlignment="1" applyProtection="0">
      <alignment vertical="bottom" wrapText="1"/>
    </xf>
    <xf numFmtId="49" fontId="6" borderId="56" applyNumberFormat="1" applyFont="1" applyFill="0" applyBorder="1" applyAlignment="1" applyProtection="0">
      <alignment vertical="bottom"/>
    </xf>
    <xf numFmtId="49" fontId="0" borderId="14" applyNumberFormat="1" applyFont="1" applyFill="0" applyBorder="1" applyAlignment="1" applyProtection="0">
      <alignment vertical="bottom"/>
    </xf>
    <xf numFmtId="49" fontId="0" borderId="16" applyNumberFormat="1" applyFont="1" applyFill="0" applyBorder="1" applyAlignment="1" applyProtection="0">
      <alignment vertical="bottom"/>
    </xf>
    <xf numFmtId="0" fontId="0" borderId="16"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16" applyNumberFormat="1" applyFont="1" applyFill="0" applyBorder="1" applyAlignment="1" applyProtection="0">
      <alignment vertical="bottom"/>
    </xf>
    <xf numFmtId="0" fontId="5" fillId="4" borderId="16" applyNumberFormat="0" applyFont="1" applyFill="1" applyBorder="1" applyAlignment="1" applyProtection="0">
      <alignment vertical="bottom" wrapText="1"/>
    </xf>
    <xf numFmtId="0" fontId="5" fillId="4" borderId="16" applyNumberFormat="1" applyFont="1" applyFill="1" applyBorder="1" applyAlignment="1" applyProtection="0">
      <alignment vertical="bottom" wrapText="1"/>
    </xf>
    <xf numFmtId="49" fontId="0" borderId="23" applyNumberFormat="1" applyFont="1" applyFill="0" applyBorder="1" applyAlignment="1" applyProtection="0">
      <alignment vertical="bottom"/>
    </xf>
    <xf numFmtId="49" fontId="0" borderId="58" applyNumberFormat="1" applyFont="1" applyFill="0" applyBorder="1" applyAlignment="1" applyProtection="0">
      <alignment vertical="bottom"/>
    </xf>
    <xf numFmtId="49" fontId="0" borderId="22" applyNumberFormat="1" applyFont="1" applyFill="0" applyBorder="1" applyAlignment="1" applyProtection="0">
      <alignment vertical="bottom"/>
    </xf>
    <xf numFmtId="49" fontId="0" borderId="59" applyNumberFormat="1" applyFont="1" applyFill="0" applyBorder="1" applyAlignment="1" applyProtection="0">
      <alignment vertical="bottom"/>
    </xf>
    <xf numFmtId="49" fontId="0" borderId="24" applyNumberFormat="1" applyFont="1" applyFill="0" applyBorder="1" applyAlignment="1" applyProtection="0">
      <alignment vertical="bottom"/>
    </xf>
    <xf numFmtId="0" fontId="0" borderId="24" applyNumberFormat="1" applyFont="1" applyFill="0" applyBorder="1" applyAlignment="1" applyProtection="0">
      <alignment vertical="bottom"/>
    </xf>
    <xf numFmtId="0" fontId="0" borderId="24" applyNumberFormat="0" applyFont="1" applyFill="0" applyBorder="1" applyAlignment="1" applyProtection="0">
      <alignment vertical="bottom"/>
    </xf>
    <xf numFmtId="59" fontId="5" fillId="4" borderId="16"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0" borderId="44" applyNumberFormat="1" applyFont="1" applyFill="0" applyBorder="1" applyAlignment="1" applyProtection="0">
      <alignment vertical="bottom"/>
    </xf>
    <xf numFmtId="0" fontId="0" borderId="44" applyNumberFormat="1" applyFont="1" applyFill="0" applyBorder="1" applyAlignment="1" applyProtection="0">
      <alignment vertical="bottom"/>
    </xf>
    <xf numFmtId="0" fontId="0" borderId="44" applyNumberFormat="0" applyFont="1" applyFill="0" applyBorder="1" applyAlignment="1" applyProtection="0">
      <alignment vertical="bottom"/>
    </xf>
    <xf numFmtId="1" fontId="0" borderId="16"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4" borderId="23" applyNumberFormat="1" applyFont="1" applyFill="1" applyBorder="1" applyAlignment="1" applyProtection="0">
      <alignment vertical="bottom" wrapText="1"/>
    </xf>
    <xf numFmtId="0" fontId="0" borderId="53" applyNumberFormat="0" applyFont="1" applyFill="0" applyBorder="1" applyAlignment="1" applyProtection="0">
      <alignment vertical="bottom"/>
    </xf>
    <xf numFmtId="0" fontId="0" applyNumberFormat="1" applyFont="1" applyFill="0" applyBorder="0" applyAlignment="1" applyProtection="0">
      <alignment vertical="bottom"/>
    </xf>
    <xf numFmtId="0" fontId="0" fillId="4" borderId="56" applyNumberFormat="0" applyFont="1" applyFill="1" applyBorder="1" applyAlignment="1" applyProtection="0">
      <alignment vertical="bottom"/>
    </xf>
    <xf numFmtId="49" fontId="6" fillId="4" borderId="56"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49" fontId="5" fillId="4" borderId="16" applyNumberFormat="1" applyFont="1" applyFill="1" applyBorder="1" applyAlignment="1" applyProtection="0">
      <alignment vertical="bottom" wrapText="1"/>
    </xf>
    <xf numFmtId="49" fontId="5" fillId="4" borderId="16" applyNumberFormat="1" applyFont="1" applyFill="1" applyBorder="1" applyAlignment="1" applyProtection="0">
      <alignment vertical="bottom"/>
    </xf>
    <xf numFmtId="0" fontId="5" fillId="13" borderId="16" applyNumberFormat="0" applyFont="1" applyFill="1" applyBorder="1" applyAlignment="1" applyProtection="0">
      <alignment vertical="bottom" wrapText="1"/>
    </xf>
    <xf numFmtId="0" fontId="5" fillId="8" borderId="16" applyNumberFormat="1" applyFont="1" applyFill="1" applyBorder="1" applyAlignment="1" applyProtection="0">
      <alignment vertical="bottom" wrapText="1"/>
    </xf>
    <xf numFmtId="0" fontId="8" fillId="4" borderId="16" applyNumberFormat="0" applyFont="1" applyFill="1" applyBorder="1" applyAlignment="1" applyProtection="0">
      <alignment vertical="bottom"/>
    </xf>
    <xf numFmtId="0" fontId="5" fillId="4" borderId="24" applyNumberFormat="0" applyFont="1" applyFill="1" applyBorder="1" applyAlignment="1" applyProtection="0">
      <alignment vertical="bottom" wrapText="1"/>
    </xf>
    <xf numFmtId="0" fontId="0" applyNumberFormat="1" applyFont="1" applyFill="0" applyBorder="0" applyAlignment="1" applyProtection="0">
      <alignment vertical="bottom"/>
    </xf>
    <xf numFmtId="1" fontId="0" fillId="4" borderId="1" applyNumberFormat="1" applyFont="1" applyFill="1" applyBorder="1" applyAlignment="1" applyProtection="0">
      <alignment vertical="bottom" wrapText="1"/>
    </xf>
    <xf numFmtId="49" fontId="6" fillId="4" borderId="5" applyNumberFormat="1" applyFont="1" applyFill="1" applyBorder="1" applyAlignment="1" applyProtection="0">
      <alignment vertical="bottom"/>
    </xf>
    <xf numFmtId="49" fontId="5" fillId="4" borderId="1" applyNumberFormat="1" applyFont="1" applyFill="1" applyBorder="1" applyAlignment="1" applyProtection="0">
      <alignment vertical="bottom"/>
    </xf>
    <xf numFmtId="1" fontId="10" fillId="4" borderId="1" applyNumberFormat="1" applyFont="1" applyFill="1" applyBorder="1" applyAlignment="1" applyProtection="0">
      <alignment vertical="bottom" wrapText="1"/>
    </xf>
    <xf numFmtId="0" fontId="10" fillId="4" borderId="2" applyNumberFormat="0" applyFont="1" applyFill="1" applyBorder="1" applyAlignment="1" applyProtection="0">
      <alignment vertical="bottom" wrapText="1"/>
    </xf>
    <xf numFmtId="0" fontId="10" fillId="4" borderId="2" applyNumberFormat="1" applyFont="1" applyFill="1" applyBorder="1" applyAlignment="1" applyProtection="0">
      <alignment vertical="bottom" wrapText="1"/>
    </xf>
    <xf numFmtId="0" fontId="10" fillId="4" borderId="1" applyNumberFormat="1" applyFont="1" applyFill="1" applyBorder="1" applyAlignment="1" applyProtection="0">
      <alignment vertical="bottom" wrapText="1"/>
    </xf>
    <xf numFmtId="0" fontId="5" fillId="4" borderId="1" applyNumberFormat="0" applyFont="1" applyFill="1" applyBorder="1" applyAlignment="1" applyProtection="0">
      <alignment vertical="bottom"/>
    </xf>
    <xf numFmtId="0" fontId="5" fillId="4" borderId="1" applyNumberFormat="1" applyFont="1" applyFill="1" applyBorder="1" applyAlignment="1" applyProtection="0">
      <alignment vertical="bottom"/>
    </xf>
    <xf numFmtId="0" fontId="10" fillId="4" borderId="6" applyNumberFormat="0" applyFont="1" applyFill="1" applyBorder="1" applyAlignment="1" applyProtection="0">
      <alignment vertical="bottom" wrapText="1"/>
    </xf>
    <xf numFmtId="0" fontId="10" fillId="13" borderId="4" applyNumberFormat="1" applyFont="1" applyFill="1" applyBorder="1" applyAlignment="1" applyProtection="0">
      <alignment vertical="bottom" wrapText="1"/>
    </xf>
    <xf numFmtId="0" fontId="10" fillId="4" borderId="5" applyNumberFormat="0" applyFont="1" applyFill="1" applyBorder="1" applyAlignment="1" applyProtection="0">
      <alignment vertical="bottom" wrapText="1"/>
    </xf>
    <xf numFmtId="0" fontId="10" fillId="8" borderId="4" applyNumberFormat="1" applyFont="1" applyFill="1" applyBorder="1" applyAlignment="1" applyProtection="0">
      <alignment vertical="bottom" wrapText="1"/>
    </xf>
    <xf numFmtId="0" fontId="10" fillId="13" borderId="4" applyNumberFormat="0" applyFont="1" applyFill="1" applyBorder="1" applyAlignment="1" applyProtection="0">
      <alignment vertical="bottom" wrapText="1"/>
    </xf>
    <xf numFmtId="0" fontId="10" fillId="4" borderId="5" applyNumberFormat="1" applyFont="1" applyFill="1" applyBorder="1" applyAlignment="1" applyProtection="0">
      <alignment vertical="bottom" wrapText="1"/>
    </xf>
    <xf numFmtId="0" fontId="6" fillId="4" borderId="1" applyNumberFormat="1" applyFont="1" applyFill="1" applyBorder="1" applyAlignment="1" applyProtection="0">
      <alignment vertical="bottom"/>
    </xf>
    <xf numFmtId="0" fontId="10" fillId="4" borderId="1" applyNumberFormat="0" applyFont="1" applyFill="1" applyBorder="1" applyAlignment="1" applyProtection="0">
      <alignment vertical="bottom"/>
    </xf>
    <xf numFmtId="1" fontId="5" fillId="4"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4" borderId="7" applyNumberFormat="1" applyFont="1" applyFill="1" applyBorder="1" applyAlignment="1" applyProtection="0">
      <alignment vertical="bottom" wrapText="1"/>
    </xf>
    <xf numFmtId="0" fontId="0" applyNumberFormat="1" applyFont="1" applyFill="0" applyBorder="0" applyAlignment="1" applyProtection="0">
      <alignment vertical="bottom"/>
    </xf>
    <xf numFmtId="1" fontId="0" fillId="4" borderId="16" applyNumberFormat="1" applyFont="1" applyFill="1" applyBorder="1" applyAlignment="1" applyProtection="0">
      <alignment vertical="bottom" wrapText="1"/>
    </xf>
    <xf numFmtId="1" fontId="5" fillId="4" borderId="16" applyNumberFormat="1" applyFont="1" applyFill="1" applyBorder="1" applyAlignment="1" applyProtection="0">
      <alignment vertical="bottom" wrapText="1"/>
    </xf>
    <xf numFmtId="1" fontId="0" fillId="4" borderId="16" applyNumberFormat="1" applyFont="1" applyFill="1" applyBorder="1" applyAlignment="1" applyProtection="0">
      <alignment vertical="bottom"/>
    </xf>
    <xf numFmtId="0" fontId="5" fillId="4" borderId="16" applyNumberFormat="0" applyFont="1" applyFill="1" applyBorder="1" applyAlignment="1" applyProtection="0">
      <alignment vertical="bottom"/>
    </xf>
    <xf numFmtId="0" fontId="5" fillId="4" borderId="16" applyNumberFormat="1" applyFont="1" applyFill="1" applyBorder="1" applyAlignment="1" applyProtection="0">
      <alignment vertical="bottom"/>
    </xf>
    <xf numFmtId="1" fontId="5" fillId="13" borderId="16" applyNumberFormat="1" applyFont="1" applyFill="1" applyBorder="1" applyAlignment="1" applyProtection="0">
      <alignment vertical="bottom" wrapText="1"/>
    </xf>
    <xf numFmtId="0" fontId="8" fillId="4" borderId="16" applyNumberFormat="0" applyFont="1" applyFill="1" applyBorder="1" applyAlignment="1" applyProtection="0">
      <alignment vertical="bottom" wrapText="1"/>
    </xf>
    <xf numFmtId="9" fontId="0" fillId="4" borderId="16" applyNumberFormat="1" applyFont="1" applyFill="1" applyBorder="1" applyAlignment="1" applyProtection="0">
      <alignment vertical="bottom"/>
    </xf>
    <xf numFmtId="59" fontId="0" fillId="4" borderId="16" applyNumberFormat="1" applyFont="1" applyFill="1" applyBorder="1" applyAlignment="1" applyProtection="0">
      <alignment vertical="bottom"/>
    </xf>
    <xf numFmtId="49" fontId="0" fillId="4" borderId="24" applyNumberFormat="1" applyFont="1" applyFill="1" applyBorder="1" applyAlignment="1" applyProtection="0">
      <alignment vertical="bottom"/>
    </xf>
    <xf numFmtId="0" fontId="0" fillId="4" borderId="58" applyNumberFormat="1" applyFont="1" applyFill="1" applyBorder="1" applyAlignment="1" applyProtection="0">
      <alignment vertical="bottom"/>
    </xf>
    <xf numFmtId="0" fontId="0" fillId="4" borderId="34" applyNumberFormat="1" applyFont="1" applyFill="1" applyBorder="1" applyAlignment="1" applyProtection="0">
      <alignment vertical="bottom"/>
    </xf>
    <xf numFmtId="0" fontId="0" applyNumberFormat="1" applyFont="1" applyFill="0" applyBorder="0" applyAlignment="1" applyProtection="0">
      <alignment vertical="bottom"/>
    </xf>
    <xf numFmtId="0" fontId="0" fillId="4" borderId="23" applyNumberFormat="0" applyFont="1" applyFill="1" applyBorder="1" applyAlignment="1" applyProtection="0">
      <alignment vertical="bottom" wrapText="1"/>
    </xf>
    <xf numFmtId="0" fontId="5" fillId="6" borderId="16" applyNumberFormat="0" applyFont="1" applyFill="1" applyBorder="1" applyAlignment="1" applyProtection="0">
      <alignment vertical="bottom" wrapText="1"/>
    </xf>
    <xf numFmtId="0" fontId="6" fillId="4" borderId="16" applyNumberFormat="0" applyFont="1" applyFill="1" applyBorder="1" applyAlignment="1" applyProtection="0">
      <alignment vertical="bottom"/>
    </xf>
    <xf numFmtId="49" fontId="13" fillId="4" borderId="16" applyNumberFormat="1" applyFont="1" applyFill="1" applyBorder="1" applyAlignment="1" applyProtection="0">
      <alignment vertical="bottom"/>
    </xf>
    <xf numFmtId="49" fontId="14" fillId="4" borderId="16" applyNumberFormat="1" applyFont="1" applyFill="1" applyBorder="1" applyAlignment="1" applyProtection="0">
      <alignment vertical="bottom"/>
    </xf>
    <xf numFmtId="0" fontId="5" fillId="4" borderId="23" applyNumberFormat="0" applyFont="1" applyFill="1" applyBorder="1" applyAlignment="1" applyProtection="0">
      <alignment vertical="bottom"/>
    </xf>
    <xf numFmtId="0" fontId="13" fillId="4" borderId="23" applyNumberFormat="0" applyFont="1" applyFill="1" applyBorder="1" applyAlignment="1" applyProtection="0">
      <alignment vertical="bottom"/>
    </xf>
    <xf numFmtId="0" fontId="0" fillId="4" borderId="43" applyNumberFormat="1" applyFont="1" applyFill="1" applyBorder="1" applyAlignment="1" applyProtection="0">
      <alignment vertical="bottom"/>
    </xf>
    <xf numFmtId="0" fontId="0" fillId="4" borderId="60" applyNumberFormat="1" applyFont="1" applyFill="1" applyBorder="1" applyAlignment="1" applyProtection="0">
      <alignment vertical="bottom"/>
    </xf>
    <xf numFmtId="0" fontId="0" fillId="4" borderId="33" applyNumberFormat="1" applyFont="1" applyFill="1" applyBorder="1" applyAlignment="1" applyProtection="0">
      <alignment vertical="bottom"/>
    </xf>
    <xf numFmtId="0" fontId="0" fillId="4" borderId="35" applyNumberFormat="1" applyFont="1" applyFill="1" applyBorder="1" applyAlignment="1" applyProtection="0">
      <alignment vertical="bottom"/>
    </xf>
    <xf numFmtId="0" fontId="0" fillId="4" borderId="42" applyNumberFormat="1" applyFont="1" applyFill="1" applyBorder="1" applyAlignment="1" applyProtection="0">
      <alignment vertical="bottom"/>
    </xf>
    <xf numFmtId="49" fontId="0" fillId="4" borderId="59" applyNumberFormat="1" applyFont="1" applyFill="1" applyBorder="1" applyAlignment="1" applyProtection="0">
      <alignment vertical="bottom"/>
    </xf>
    <xf numFmtId="49" fontId="0" fillId="4" borderId="44" applyNumberFormat="1" applyFont="1" applyFill="1" applyBorder="1" applyAlignment="1" applyProtection="0">
      <alignment vertical="bottom"/>
    </xf>
    <xf numFmtId="0" fontId="0" fillId="4" borderId="14" applyNumberFormat="1" applyFont="1" applyFill="1" applyBorder="1" applyAlignment="1" applyProtection="0">
      <alignment vertical="bottom"/>
    </xf>
    <xf numFmtId="0" fontId="0" fillId="4" borderId="59" applyNumberFormat="1" applyFont="1" applyFill="1" applyBorder="1" applyAlignment="1" applyProtection="0">
      <alignment vertical="bottom"/>
    </xf>
    <xf numFmtId="9" fontId="0" fillId="4" borderId="24" applyNumberFormat="1" applyFont="1" applyFill="1" applyBorder="1" applyAlignment="1" applyProtection="0">
      <alignment vertical="bottom"/>
    </xf>
    <xf numFmtId="0" fontId="0" fillId="4" borderId="46" applyNumberFormat="1" applyFont="1" applyFill="1" applyBorder="1" applyAlignment="1" applyProtection="0">
      <alignment vertical="bottom"/>
    </xf>
    <xf numFmtId="9" fontId="0" fillId="4" borderId="46" applyNumberFormat="1" applyFont="1" applyFill="1" applyBorder="1" applyAlignment="1" applyProtection="0">
      <alignment vertical="bottom"/>
    </xf>
    <xf numFmtId="0" fontId="13" fillId="4" borderId="61" applyNumberFormat="0" applyFont="1" applyFill="1" applyBorder="1" applyAlignment="1" applyProtection="0">
      <alignment vertical="bottom"/>
    </xf>
    <xf numFmtId="0" fontId="13" fillId="4" borderId="28" applyNumberFormat="0" applyFont="1" applyFill="1" applyBorder="1" applyAlignment="1" applyProtection="0">
      <alignment vertical="bottom"/>
    </xf>
    <xf numFmtId="0" fontId="13" fillId="4"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10" fillId="4" borderId="16" applyNumberFormat="1" applyFont="1" applyFill="1" applyBorder="1" applyAlignment="1" applyProtection="0">
      <alignment vertical="bottom" wrapText="1"/>
    </xf>
    <xf numFmtId="49" fontId="5" borderId="16" applyNumberFormat="1" applyFont="1" applyFill="0" applyBorder="1" applyAlignment="1" applyProtection="0">
      <alignment vertical="bottom"/>
    </xf>
    <xf numFmtId="0" fontId="5" borderId="16" applyNumberFormat="1" applyFont="1" applyFill="0" applyBorder="1" applyAlignment="1" applyProtection="0">
      <alignment vertical="bottom"/>
    </xf>
    <xf numFmtId="0" fontId="5" borderId="16" applyNumberFormat="0" applyFont="1" applyFill="0" applyBorder="1" applyAlignment="1" applyProtection="0">
      <alignment vertical="bottom"/>
    </xf>
    <xf numFmtId="0" fontId="10" borderId="16" applyNumberFormat="0" applyFont="1" applyFill="0" applyBorder="1" applyAlignment="1" applyProtection="0">
      <alignment vertical="bottom"/>
    </xf>
    <xf numFmtId="0" fontId="10" borderId="16" applyNumberFormat="1" applyFont="1" applyFill="0" applyBorder="1" applyAlignment="1" applyProtection="0">
      <alignment vertical="bottom"/>
    </xf>
    <xf numFmtId="0" fontId="5" borderId="1" applyNumberFormat="0" applyFont="1" applyFill="0" applyBorder="1" applyAlignment="1" applyProtection="0">
      <alignment vertical="bottom"/>
    </xf>
    <xf numFmtId="0" fontId="13" borderId="44" applyNumberFormat="0" applyFont="1" applyFill="0" applyBorder="1" applyAlignment="1" applyProtection="0">
      <alignment vertical="bottom"/>
    </xf>
    <xf numFmtId="0" fontId="13" borderId="24" applyNumberFormat="0" applyFont="1" applyFill="0" applyBorder="1" applyAlignment="1" applyProtection="0">
      <alignment vertical="bottom"/>
    </xf>
    <xf numFmtId="0" fontId="5" fillId="4" borderId="44" applyNumberFormat="0" applyFont="1" applyFill="1" applyBorder="1" applyAlignment="1" applyProtection="0">
      <alignment vertical="bottom" wrapText="1"/>
    </xf>
    <xf numFmtId="0" fontId="0" borderId="42"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5" fillId="4" borderId="35" applyNumberFormat="0" applyFont="1" applyFill="1" applyBorder="1" applyAlignment="1" applyProtection="0">
      <alignment vertical="bottom" wrapText="1"/>
    </xf>
    <xf numFmtId="0" fontId="0" borderId="35" applyNumberFormat="0" applyFont="1" applyFill="0" applyBorder="1" applyAlignment="1" applyProtection="0">
      <alignment vertical="bottom"/>
    </xf>
    <xf numFmtId="0" fontId="13" borderId="16" applyNumberFormat="0" applyFont="1" applyFill="0" applyBorder="1" applyAlignment="1" applyProtection="0">
      <alignment vertical="bottom"/>
    </xf>
    <xf numFmtId="0" fontId="10" fillId="4" borderId="35" applyNumberFormat="0" applyFont="1" applyFill="1" applyBorder="1" applyAlignment="1" applyProtection="0">
      <alignment vertical="bottom" wrapText="1"/>
    </xf>
    <xf numFmtId="9" fontId="15" borderId="24" applyNumberFormat="1" applyFont="1" applyFill="0" applyBorder="1" applyAlignment="1" applyProtection="0">
      <alignment vertical="bottom"/>
    </xf>
    <xf numFmtId="9" fontId="15" borderId="58" applyNumberFormat="1" applyFont="1" applyFill="0" applyBorder="1" applyAlignment="1" applyProtection="0">
      <alignment vertical="bottom"/>
    </xf>
    <xf numFmtId="49" fontId="15" borderId="33" applyNumberFormat="1" applyFont="1" applyFill="0" applyBorder="1" applyAlignment="1" applyProtection="0">
      <alignment vertical="bottom"/>
    </xf>
    <xf numFmtId="9" fontId="15" borderId="33" applyNumberFormat="1" applyFont="1" applyFill="0" applyBorder="1" applyAlignment="1" applyProtection="0">
      <alignment vertical="bottom"/>
    </xf>
    <xf numFmtId="9" fontId="15" borderId="23" applyNumberFormat="1" applyFont="1" applyFill="0" applyBorder="1" applyAlignment="1" applyProtection="0">
      <alignment vertical="bottom"/>
    </xf>
    <xf numFmtId="9" fontId="15" borderId="1" applyNumberFormat="1" applyFont="1" applyFill="0" applyBorder="1" applyAlignment="1" applyProtection="0">
      <alignment vertical="bottom"/>
    </xf>
    <xf numFmtId="9" fontId="0" borderId="24" applyNumberFormat="1" applyFont="1" applyFill="0" applyBorder="1" applyAlignment="1" applyProtection="0">
      <alignment vertical="bottom"/>
    </xf>
    <xf numFmtId="9" fontId="0" borderId="22" applyNumberFormat="1" applyFont="1" applyFill="0" applyBorder="1" applyAlignment="1" applyProtection="0">
      <alignment vertical="bottom"/>
    </xf>
    <xf numFmtId="0" fontId="0" applyNumberFormat="1" applyFont="1" applyFill="0" applyBorder="0" applyAlignment="1" applyProtection="0">
      <alignment vertical="bottom"/>
    </xf>
    <xf numFmtId="0" fontId="10" fillId="8" borderId="4" applyNumberFormat="0" applyFont="1" applyFill="1" applyBorder="1" applyAlignment="1" applyProtection="0">
      <alignment vertical="bottom" wrapText="1"/>
    </xf>
    <xf numFmtId="0" fontId="6" fillId="4" borderId="5"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d9e2f3"/>
      <rgbColor rgb="ffcfcfcf"/>
      <rgbColor rgb="ffff0000"/>
      <rgbColor rgb="ffffff00"/>
      <rgbColor rgb="ff70ad47"/>
      <rgbColor rgb="fffff2cb"/>
      <rgbColor rgb="fffad9ff"/>
      <rgbColor rgb="fff5c6ff"/>
      <rgbColor rgb="fffbe4d5"/>
      <rgbColor rgb="ffe7e6e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104</v>
      </c>
      <c r="C11" s="3"/>
      <c r="D11" s="3"/>
    </row>
    <row r="12">
      <c r="B12" s="4"/>
      <c r="C12" t="s" s="4">
        <v>5</v>
      </c>
      <c r="D12" t="s" s="5">
        <v>104</v>
      </c>
    </row>
    <row r="13">
      <c r="B13" t="s" s="3">
        <v>297</v>
      </c>
      <c r="C13" s="3"/>
      <c r="D13" s="3"/>
    </row>
    <row r="14">
      <c r="B14" s="4"/>
      <c r="C14" t="s" s="4">
        <v>5</v>
      </c>
      <c r="D14" t="s" s="5">
        <v>297</v>
      </c>
    </row>
    <row r="15">
      <c r="B15" t="s" s="3">
        <v>357</v>
      </c>
      <c r="C15" s="3"/>
      <c r="D15" s="3"/>
    </row>
    <row r="16">
      <c r="B16" s="4"/>
      <c r="C16" t="s" s="4">
        <v>5</v>
      </c>
      <c r="D16" t="s" s="5">
        <v>357</v>
      </c>
    </row>
    <row r="17">
      <c r="B17" t="s" s="3">
        <v>396</v>
      </c>
      <c r="C17" s="3"/>
      <c r="D17" s="3"/>
    </row>
    <row r="18">
      <c r="B18" s="4"/>
      <c r="C18" t="s" s="4">
        <v>5</v>
      </c>
      <c r="D18" t="s" s="5">
        <v>396</v>
      </c>
    </row>
    <row r="19">
      <c r="B19" t="s" s="3">
        <v>421</v>
      </c>
      <c r="C19" s="3"/>
      <c r="D19" s="3"/>
    </row>
    <row r="20">
      <c r="B20" s="4"/>
      <c r="C20" t="s" s="4">
        <v>5</v>
      </c>
      <c r="D20" t="s" s="5">
        <v>421</v>
      </c>
    </row>
    <row r="21">
      <c r="B21" t="s" s="3">
        <v>485</v>
      </c>
      <c r="C21" s="3"/>
      <c r="D21" s="3"/>
    </row>
    <row r="22">
      <c r="B22" s="4"/>
      <c r="C22" t="s" s="4">
        <v>5</v>
      </c>
      <c r="D22" t="s" s="5">
        <v>485</v>
      </c>
    </row>
    <row r="23">
      <c r="B23" t="s" s="3">
        <v>531</v>
      </c>
      <c r="C23" s="3"/>
      <c r="D23" s="3"/>
    </row>
    <row r="24">
      <c r="B24" s="4"/>
      <c r="C24" t="s" s="4">
        <v>5</v>
      </c>
      <c r="D24" t="s" s="5">
        <v>531</v>
      </c>
    </row>
    <row r="25">
      <c r="B25" t="s" s="3">
        <v>646</v>
      </c>
      <c r="C25" s="3"/>
      <c r="D25" s="3"/>
    </row>
    <row r="26">
      <c r="B26" s="4"/>
      <c r="C26" t="s" s="4">
        <v>5</v>
      </c>
      <c r="D26" t="s" s="5">
        <v>646</v>
      </c>
    </row>
    <row r="27">
      <c r="B27" t="s" s="3">
        <v>936</v>
      </c>
      <c r="C27" s="3"/>
      <c r="D27" s="3"/>
    </row>
    <row r="28">
      <c r="B28" s="4"/>
      <c r="C28" t="s" s="4">
        <v>5</v>
      </c>
      <c r="D28" t="s" s="5">
        <v>936</v>
      </c>
    </row>
    <row r="29">
      <c r="B29" t="s" s="3">
        <v>972</v>
      </c>
      <c r="C29" s="3"/>
      <c r="D29" s="3"/>
    </row>
    <row r="30">
      <c r="B30" s="4"/>
      <c r="C30" t="s" s="4">
        <v>5</v>
      </c>
      <c r="D30" t="s" s="5">
        <v>972</v>
      </c>
    </row>
    <row r="31">
      <c r="B31" t="s" s="3">
        <v>1008</v>
      </c>
      <c r="C31" s="3"/>
      <c r="D31" s="3"/>
    </row>
    <row r="32">
      <c r="B32" s="4"/>
      <c r="C32" t="s" s="4">
        <v>5</v>
      </c>
      <c r="D32" t="s" s="5">
        <v>1008</v>
      </c>
    </row>
    <row r="33">
      <c r="B33" t="s" s="3">
        <v>1079</v>
      </c>
      <c r="C33" s="3"/>
      <c r="D33" s="3"/>
    </row>
    <row r="34">
      <c r="B34" s="4"/>
      <c r="C34" t="s" s="4">
        <v>5</v>
      </c>
      <c r="D34" t="s" s="5">
        <v>1079</v>
      </c>
    </row>
    <row r="35">
      <c r="B35" t="s" s="3">
        <v>1187</v>
      </c>
      <c r="C35" s="3"/>
      <c r="D35" s="3"/>
    </row>
    <row r="36">
      <c r="B36" s="4"/>
      <c r="C36" t="s" s="4">
        <v>5</v>
      </c>
      <c r="D36" t="s" s="5">
        <v>1187</v>
      </c>
    </row>
    <row r="37">
      <c r="B37" t="s" s="3">
        <v>1256</v>
      </c>
      <c r="C37" s="3"/>
      <c r="D37" s="3"/>
    </row>
    <row r="38">
      <c r="B38" s="4"/>
      <c r="C38" t="s" s="4">
        <v>5</v>
      </c>
      <c r="D38" t="s" s="5">
        <v>1256</v>
      </c>
    </row>
    <row r="39">
      <c r="B39" t="s" s="3">
        <v>1356</v>
      </c>
      <c r="C39" s="3"/>
      <c r="D39" s="3"/>
    </row>
    <row r="40">
      <c r="B40" s="4"/>
      <c r="C40" t="s" s="4">
        <v>5</v>
      </c>
      <c r="D40" t="s" s="5">
        <v>1356</v>
      </c>
    </row>
    <row r="41">
      <c r="B41" t="s" s="3">
        <v>1391</v>
      </c>
      <c r="C41" s="3"/>
      <c r="D41" s="3"/>
    </row>
    <row r="42">
      <c r="B42" s="4"/>
      <c r="C42" t="s" s="4">
        <v>5</v>
      </c>
      <c r="D42" t="s" s="5">
        <v>1391</v>
      </c>
    </row>
    <row r="43">
      <c r="B43" t="s" s="3">
        <v>1637</v>
      </c>
      <c r="C43" s="3"/>
      <c r="D43" s="3"/>
    </row>
    <row r="44">
      <c r="B44" s="4"/>
      <c r="C44" t="s" s="4">
        <v>5</v>
      </c>
      <c r="D44" t="s" s="5">
        <v>1637</v>
      </c>
    </row>
    <row r="45">
      <c r="B45" t="s" s="3">
        <v>1644</v>
      </c>
      <c r="C45" s="3"/>
      <c r="D45" s="3"/>
    </row>
    <row r="46">
      <c r="B46" s="4"/>
      <c r="C46" t="s" s="4">
        <v>5</v>
      </c>
      <c r="D46" t="s" s="5">
        <v>1644</v>
      </c>
    </row>
    <row r="47">
      <c r="B47" t="s" s="3">
        <v>1683</v>
      </c>
      <c r="C47" s="3"/>
      <c r="D47" s="3"/>
    </row>
    <row r="48">
      <c r="B48" s="4"/>
      <c r="C48" t="s" s="4">
        <v>5</v>
      </c>
      <c r="D48" t="s" s="5">
        <v>1683</v>
      </c>
    </row>
    <row r="49">
      <c r="B49" t="s" s="3">
        <v>1727</v>
      </c>
      <c r="C49" s="3"/>
      <c r="D49" s="3"/>
    </row>
    <row r="50">
      <c r="B50" s="4"/>
      <c r="C50" t="s" s="4">
        <v>5</v>
      </c>
      <c r="D50" t="s" s="5">
        <v>1727</v>
      </c>
    </row>
    <row r="51">
      <c r="B51" t="s" s="3">
        <v>1909</v>
      </c>
      <c r="C51" s="3"/>
      <c r="D51" s="3"/>
    </row>
    <row r="52">
      <c r="B52" s="4"/>
      <c r="C52" t="s" s="4">
        <v>5</v>
      </c>
      <c r="D52" t="s" s="5">
        <v>1909</v>
      </c>
    </row>
    <row r="53">
      <c r="B53" t="s" s="3">
        <v>1948</v>
      </c>
      <c r="C53" s="3"/>
      <c r="D53" s="3"/>
    </row>
    <row r="54">
      <c r="B54" s="4"/>
      <c r="C54" t="s" s="4">
        <v>5</v>
      </c>
      <c r="D54" t="s" s="5">
        <v>1948</v>
      </c>
    </row>
    <row r="55">
      <c r="B55" t="s" s="3">
        <v>2007</v>
      </c>
      <c r="C55" s="3"/>
      <c r="D55" s="3"/>
    </row>
    <row r="56">
      <c r="B56" s="4"/>
      <c r="C56" t="s" s="4">
        <v>5</v>
      </c>
      <c r="D56" t="s" s="5">
        <v>2007</v>
      </c>
    </row>
  </sheetData>
  <mergeCells count="1">
    <mergeCell ref="B3:D3"/>
  </mergeCells>
  <hyperlinks>
    <hyperlink ref="D10" location="'BL'!R1C1" tooltip="" display="BL"/>
    <hyperlink ref="D12" location="'PC'!R1C1" tooltip="" display="PC"/>
    <hyperlink ref="D14" location="'WesternTerrace'!R1C1" tooltip="" display="WesternTerrace"/>
    <hyperlink ref="D16" location="'North Rd'!R1C1" tooltip="" display="North Rd"/>
    <hyperlink ref="D18" location="'Lincoln Circus'!R1C1" tooltip="" display="Lincoln Circus"/>
    <hyperlink ref="D20" location="'newcastlecircus'!R1C1" tooltip="" display="newcastlecircus"/>
    <hyperlink ref="D22" location="'Park Drive'!R1C1" tooltip="" display="Park Drive"/>
    <hyperlink ref="D24" location="'Peveril Drive'!R1C1" tooltip="" display="Peveril Drive"/>
    <hyperlink ref="D26" location="'lentonave-dan'!R1C1" tooltip="" display="lentonave-dan"/>
    <hyperlink ref="D28" location="'Clumber rd W dan'!R1C1" tooltip="" display="Clumber rd W dan"/>
    <hyperlink ref="D30" location="'maxtoke rd dan'!R1C1" tooltip="" display="maxtoke rd dan"/>
    <hyperlink ref="D32" location="'clumbercress dan'!R1C1" tooltip="" display="clumbercress dan"/>
    <hyperlink ref="D34" location="'Cav cresn'!R1C1" tooltip="" display="Cav cresn"/>
    <hyperlink ref="D36" location="'southrd p 168'!R1C1" tooltip="" display="southrd p 168"/>
    <hyperlink ref="D38" location="'Cavendish Cres S p182'!R1C1" tooltip="" display="Cavendish Cres S p182"/>
    <hyperlink ref="D40" location="'holles cres p202'!R1C1" tooltip="" display="holles cres p202"/>
    <hyperlink ref="D42" location="'LentonRd p208'!R1C1" tooltip="" display="LentonRd p208"/>
    <hyperlink ref="D44" location="'Hermitage Walkp 256'!R1C1" tooltip="" display="Hermitage Walkp 256"/>
    <hyperlink ref="D46" location="'Kenilworthrd p 259'!R1C1" tooltip="" display="Kenilworthrd p 259"/>
    <hyperlink ref="D48" location="'fishpond drive p 286 418'!R1C1" tooltip="" display="fishpond drive p 286 418"/>
    <hyperlink ref="D50" location="'Hope Drive p.376'!R1C1" tooltip="" display="Hope Drive p.376"/>
    <hyperlink ref="D52" location="'comparison'!R1C1" tooltip="" display="comparison"/>
    <hyperlink ref="D54" location="'Personaloccupation'!R1C1" tooltip="" display="Personaloccupation"/>
    <hyperlink ref="D56" location="'template'!R1C1" tooltip="" display="template"/>
  </hyperlinks>
</worksheet>
</file>

<file path=xl/worksheets/sheet2.xml><?xml version="1.0" encoding="utf-8"?>
<worksheet xmlns:r="http://schemas.openxmlformats.org/officeDocument/2006/relationships" xmlns="http://schemas.openxmlformats.org/spreadsheetml/2006/main">
  <dimension ref="A1:AD30"/>
  <sheetViews>
    <sheetView workbookViewId="0" showGridLines="0" defaultGridColor="1"/>
  </sheetViews>
  <sheetFormatPr defaultColWidth="10.8333" defaultRowHeight="16" customHeight="1" outlineLevelRow="0" outlineLevelCol="0"/>
  <cols>
    <col min="1" max="23" width="10.8516" style="6" customWidth="1"/>
    <col min="24" max="24" width="20.3516" style="6" customWidth="1"/>
    <col min="25" max="30" width="10.8516" style="6" customWidth="1"/>
    <col min="31" max="16384" width="10.8516" style="6" customWidth="1"/>
  </cols>
  <sheetData>
    <row r="1" ht="17" customHeight="1">
      <c r="A1" t="s" s="7">
        <v>6</v>
      </c>
      <c r="B1" t="s" s="7">
        <v>7</v>
      </c>
      <c r="C1" t="s" s="7">
        <v>8</v>
      </c>
      <c r="D1" t="s" s="7">
        <v>9</v>
      </c>
      <c r="E1" t="s" s="7">
        <v>10</v>
      </c>
      <c r="F1" t="s" s="7">
        <v>11</v>
      </c>
      <c r="G1" t="s" s="7">
        <v>12</v>
      </c>
      <c r="H1" s="8"/>
      <c r="I1" s="8"/>
      <c r="J1" s="8"/>
      <c r="K1" t="s" s="7">
        <v>13</v>
      </c>
      <c r="L1" s="8"/>
      <c r="M1" s="8"/>
      <c r="N1" s="8"/>
      <c r="O1" s="8"/>
      <c r="P1" s="8"/>
      <c r="Q1" t="s" s="7">
        <v>14</v>
      </c>
      <c r="R1" t="s" s="7">
        <v>15</v>
      </c>
      <c r="S1" s="8"/>
      <c r="T1" s="8"/>
      <c r="U1" t="s" s="7">
        <v>16</v>
      </c>
      <c r="V1" t="s" s="7">
        <v>17</v>
      </c>
      <c r="W1" t="s" s="7">
        <v>18</v>
      </c>
      <c r="X1" t="s" s="7">
        <v>19</v>
      </c>
      <c r="Y1" t="s" s="7">
        <v>20</v>
      </c>
      <c r="Z1" t="s" s="7">
        <v>21</v>
      </c>
      <c r="AA1" t="s" s="7">
        <v>22</v>
      </c>
      <c r="AB1" s="8"/>
      <c r="AC1" t="s" s="7">
        <v>23</v>
      </c>
      <c r="AD1" s="8"/>
    </row>
    <row r="2" ht="17" customHeight="1">
      <c r="A2" s="8"/>
      <c r="B2" s="8"/>
      <c r="C2" s="8"/>
      <c r="D2" s="8"/>
      <c r="E2" s="8"/>
      <c r="F2" s="8"/>
      <c r="G2" t="s" s="7">
        <v>24</v>
      </c>
      <c r="H2" t="s" s="7">
        <v>25</v>
      </c>
      <c r="I2" t="s" s="7">
        <v>26</v>
      </c>
      <c r="J2" t="s" s="7">
        <v>27</v>
      </c>
      <c r="K2" t="s" s="7">
        <v>28</v>
      </c>
      <c r="L2" t="s" s="7">
        <v>29</v>
      </c>
      <c r="M2" t="s" s="7">
        <v>30</v>
      </c>
      <c r="N2" t="s" s="7">
        <v>31</v>
      </c>
      <c r="O2" t="s" s="7">
        <v>32</v>
      </c>
      <c r="P2" t="s" s="7">
        <v>33</v>
      </c>
      <c r="Q2" s="8"/>
      <c r="R2" t="s" s="7">
        <v>25</v>
      </c>
      <c r="S2" t="s" s="7">
        <v>34</v>
      </c>
      <c r="T2" t="s" s="7">
        <v>24</v>
      </c>
      <c r="U2" s="8"/>
      <c r="V2" s="8"/>
      <c r="W2" s="8"/>
      <c r="X2" s="8"/>
      <c r="Y2" s="8"/>
      <c r="Z2" s="8"/>
      <c r="AA2" t="s" s="7">
        <v>35</v>
      </c>
      <c r="AB2" t="s" s="7">
        <v>36</v>
      </c>
      <c r="AC2" t="s" s="7">
        <v>37</v>
      </c>
      <c r="AD2" s="8"/>
    </row>
    <row r="3" ht="17" customHeight="1">
      <c r="A3" t="s" s="7">
        <v>38</v>
      </c>
      <c r="B3" s="8"/>
      <c r="C3" s="9">
        <v>10</v>
      </c>
      <c r="D3" t="s" s="7">
        <v>39</v>
      </c>
      <c r="E3" t="s" s="7">
        <v>40</v>
      </c>
      <c r="F3" t="s" s="7">
        <v>41</v>
      </c>
      <c r="G3" s="8"/>
      <c r="H3" s="9">
        <v>1</v>
      </c>
      <c r="I3" s="8"/>
      <c r="J3" s="8"/>
      <c r="K3" s="9">
        <v>1</v>
      </c>
      <c r="L3" s="8"/>
      <c r="M3" s="8"/>
      <c r="N3" s="8"/>
      <c r="O3" s="8"/>
      <c r="P3" s="8"/>
      <c r="Q3" s="9">
        <v>65</v>
      </c>
      <c r="R3" s="9">
        <v>1</v>
      </c>
      <c r="S3" s="8"/>
      <c r="T3" s="8"/>
      <c r="U3" s="8"/>
      <c r="V3" s="8"/>
      <c r="W3" s="8"/>
      <c r="X3" t="s" s="7">
        <v>42</v>
      </c>
      <c r="Y3" s="8"/>
      <c r="Z3" s="9">
        <v>1</v>
      </c>
      <c r="AA3" s="8"/>
      <c r="AB3" s="9">
        <v>1</v>
      </c>
      <c r="AC3" s="9">
        <v>1</v>
      </c>
      <c r="AD3" s="8"/>
    </row>
    <row r="4" ht="17" customHeight="1">
      <c r="A4" t="s" s="7">
        <v>38</v>
      </c>
      <c r="B4" s="8"/>
      <c r="C4" s="9">
        <v>10</v>
      </c>
      <c r="D4" t="s" s="7">
        <v>39</v>
      </c>
      <c r="E4" t="s" s="7">
        <v>40</v>
      </c>
      <c r="F4" t="s" s="7">
        <v>43</v>
      </c>
      <c r="G4" s="9">
        <v>1</v>
      </c>
      <c r="H4" s="8"/>
      <c r="I4" s="8"/>
      <c r="J4" s="8"/>
      <c r="K4" s="8"/>
      <c r="L4" s="9">
        <v>1</v>
      </c>
      <c r="M4" s="8"/>
      <c r="N4" s="8"/>
      <c r="O4" s="8"/>
      <c r="P4" s="8"/>
      <c r="Q4" s="9">
        <v>58</v>
      </c>
      <c r="R4" s="9">
        <v>1</v>
      </c>
      <c r="S4" s="8"/>
      <c r="T4" s="8"/>
      <c r="U4" s="9">
        <v>28</v>
      </c>
      <c r="V4" s="9">
        <v>4</v>
      </c>
      <c r="W4" s="9">
        <v>4</v>
      </c>
      <c r="X4" s="8"/>
      <c r="Y4" s="8"/>
      <c r="Z4" s="8"/>
      <c r="AA4" s="8"/>
      <c r="AB4" s="8"/>
      <c r="AC4" s="8"/>
      <c r="AD4" t="s" s="7">
        <v>44</v>
      </c>
    </row>
    <row r="5" ht="17" customHeight="1">
      <c r="A5" t="s" s="7">
        <v>38</v>
      </c>
      <c r="B5" s="8"/>
      <c r="C5" s="9">
        <v>10</v>
      </c>
      <c r="D5" t="s" s="7">
        <v>39</v>
      </c>
      <c r="E5" t="s" s="7">
        <v>40</v>
      </c>
      <c r="F5" t="s" s="7">
        <v>41</v>
      </c>
      <c r="G5" s="8"/>
      <c r="H5" s="9">
        <v>1</v>
      </c>
      <c r="I5" s="8"/>
      <c r="J5" s="8"/>
      <c r="K5" s="8"/>
      <c r="L5" s="8"/>
      <c r="M5" s="8"/>
      <c r="N5" s="9">
        <v>1</v>
      </c>
      <c r="O5" s="8"/>
      <c r="P5" s="8"/>
      <c r="Q5" s="9">
        <v>18</v>
      </c>
      <c r="R5" s="8"/>
      <c r="S5" s="9">
        <v>1</v>
      </c>
      <c r="T5" s="8"/>
      <c r="U5" s="8"/>
      <c r="V5" s="8"/>
      <c r="W5" s="8"/>
      <c r="X5" t="s" s="7">
        <v>45</v>
      </c>
      <c r="Y5" t="s" s="7">
        <v>46</v>
      </c>
      <c r="Z5" s="9">
        <v>1</v>
      </c>
      <c r="AA5" s="8"/>
      <c r="AB5" s="9">
        <v>1</v>
      </c>
      <c r="AC5" s="9">
        <v>1</v>
      </c>
      <c r="AD5" s="8"/>
    </row>
    <row r="6" ht="17" customHeight="1">
      <c r="A6" t="s" s="7">
        <v>38</v>
      </c>
      <c r="B6" s="8"/>
      <c r="C6" s="9">
        <v>10</v>
      </c>
      <c r="D6" t="s" s="7">
        <v>47</v>
      </c>
      <c r="E6" t="s" s="7">
        <v>48</v>
      </c>
      <c r="F6" t="s" s="7">
        <v>49</v>
      </c>
      <c r="G6" s="9">
        <v>1</v>
      </c>
      <c r="H6" s="8"/>
      <c r="I6" s="8"/>
      <c r="J6" s="8"/>
      <c r="K6" s="8"/>
      <c r="L6" s="8"/>
      <c r="M6" s="9">
        <v>1</v>
      </c>
      <c r="N6" s="8"/>
      <c r="O6" s="8"/>
      <c r="P6" s="8"/>
      <c r="Q6" s="9">
        <v>26</v>
      </c>
      <c r="R6" s="8"/>
      <c r="S6" s="9">
        <v>1</v>
      </c>
      <c r="T6" s="8"/>
      <c r="U6" s="8"/>
      <c r="V6" s="8"/>
      <c r="W6" s="8"/>
      <c r="X6" t="s" s="7">
        <v>50</v>
      </c>
      <c r="Y6" s="8"/>
      <c r="Z6" s="9">
        <v>1</v>
      </c>
      <c r="AA6" s="8"/>
      <c r="AB6" s="9">
        <v>1</v>
      </c>
      <c r="AC6" s="9">
        <v>1</v>
      </c>
      <c r="AD6" s="8"/>
    </row>
    <row r="7" ht="17" customHeight="1">
      <c r="A7" t="s" s="7">
        <v>38</v>
      </c>
      <c r="B7" s="8"/>
      <c r="C7" s="9">
        <v>10</v>
      </c>
      <c r="D7" t="s" s="7">
        <v>39</v>
      </c>
      <c r="E7" t="s" s="7">
        <v>40</v>
      </c>
      <c r="F7" t="s" s="7">
        <v>51</v>
      </c>
      <c r="G7" s="9">
        <v>1</v>
      </c>
      <c r="H7" s="8"/>
      <c r="I7" s="8"/>
      <c r="J7" s="8"/>
      <c r="K7" s="8"/>
      <c r="L7" s="8"/>
      <c r="M7" s="9">
        <v>1</v>
      </c>
      <c r="N7" s="8"/>
      <c r="O7" s="8"/>
      <c r="P7" s="8"/>
      <c r="Q7" s="9">
        <v>15</v>
      </c>
      <c r="R7" s="8"/>
      <c r="S7" s="9">
        <v>1</v>
      </c>
      <c r="T7" s="8"/>
      <c r="U7" s="8"/>
      <c r="V7" s="8"/>
      <c r="W7" s="8"/>
      <c r="X7" t="s" s="7">
        <v>52</v>
      </c>
      <c r="Y7" s="8"/>
      <c r="Z7" s="9">
        <v>1</v>
      </c>
      <c r="AA7" s="8"/>
      <c r="AB7" s="9">
        <v>1</v>
      </c>
      <c r="AC7" s="9">
        <v>1</v>
      </c>
      <c r="AD7" s="8"/>
    </row>
    <row r="8" ht="17" customHeight="1">
      <c r="A8" t="s" s="7">
        <v>38</v>
      </c>
      <c r="B8" s="8"/>
      <c r="C8" s="9">
        <v>10</v>
      </c>
      <c r="D8" t="s" s="7">
        <v>39</v>
      </c>
      <c r="E8" t="s" s="7">
        <v>40</v>
      </c>
      <c r="F8" t="s" s="7">
        <v>53</v>
      </c>
      <c r="G8" s="8"/>
      <c r="H8" s="8"/>
      <c r="I8" s="9">
        <v>1</v>
      </c>
      <c r="J8" s="8"/>
      <c r="K8" s="8"/>
      <c r="L8" s="8"/>
      <c r="M8" s="8"/>
      <c r="N8" s="8"/>
      <c r="O8" t="s" s="7">
        <v>54</v>
      </c>
      <c r="P8" s="8"/>
      <c r="Q8" s="9">
        <v>7</v>
      </c>
      <c r="R8" t="s" s="7">
        <v>55</v>
      </c>
      <c r="S8" t="s" s="7">
        <v>55</v>
      </c>
      <c r="T8" s="8"/>
      <c r="U8" s="8"/>
      <c r="V8" s="8"/>
      <c r="W8" s="8"/>
      <c r="X8" t="s" s="7">
        <v>56</v>
      </c>
      <c r="Y8" s="8"/>
      <c r="Z8" s="8"/>
      <c r="AA8" s="8"/>
      <c r="AB8" s="8"/>
      <c r="AC8" s="9">
        <v>1</v>
      </c>
      <c r="AD8" s="8"/>
    </row>
    <row r="9" ht="17" customHeight="1">
      <c r="A9" t="s" s="7">
        <v>57</v>
      </c>
      <c r="B9" t="s" s="7">
        <v>58</v>
      </c>
      <c r="C9" s="8"/>
      <c r="D9" t="s" s="7">
        <v>39</v>
      </c>
      <c r="E9" t="s" s="7">
        <v>59</v>
      </c>
      <c r="F9" t="s" s="7">
        <v>49</v>
      </c>
      <c r="G9" s="9">
        <v>1</v>
      </c>
      <c r="H9" s="8"/>
      <c r="I9" s="8"/>
      <c r="J9" s="8"/>
      <c r="K9" s="9">
        <v>1</v>
      </c>
      <c r="L9" s="8"/>
      <c r="M9" s="8"/>
      <c r="N9" s="8"/>
      <c r="O9" s="8"/>
      <c r="P9" s="8"/>
      <c r="Q9" s="9">
        <v>81</v>
      </c>
      <c r="R9" s="8"/>
      <c r="S9" s="8"/>
      <c r="T9" s="9">
        <v>1</v>
      </c>
      <c r="U9" s="8"/>
      <c r="V9" s="9">
        <v>1</v>
      </c>
      <c r="W9" s="9">
        <v>1</v>
      </c>
      <c r="X9" s="8"/>
      <c r="Y9" s="8"/>
      <c r="Z9" s="8"/>
      <c r="AA9" s="8"/>
      <c r="AB9" s="8"/>
      <c r="AC9" s="9">
        <v>1</v>
      </c>
      <c r="AD9" s="8"/>
    </row>
    <row r="10" ht="17" customHeight="1">
      <c r="A10" t="s" s="7">
        <v>57</v>
      </c>
      <c r="B10" t="s" s="7">
        <v>58</v>
      </c>
      <c r="C10" s="8"/>
      <c r="D10" t="s" s="7">
        <v>39</v>
      </c>
      <c r="E10" t="s" s="7">
        <v>60</v>
      </c>
      <c r="F10" t="s" s="7">
        <v>61</v>
      </c>
      <c r="G10" s="8"/>
      <c r="H10" s="9">
        <v>1</v>
      </c>
      <c r="I10" s="8"/>
      <c r="J10" s="8"/>
      <c r="K10" s="8"/>
      <c r="L10" s="8"/>
      <c r="M10" s="8"/>
      <c r="N10" s="8"/>
      <c r="O10" t="s" s="7">
        <v>62</v>
      </c>
      <c r="P10" s="8"/>
      <c r="Q10" s="9">
        <v>42</v>
      </c>
      <c r="R10" s="9">
        <v>1</v>
      </c>
      <c r="S10" s="8"/>
      <c r="T10" s="8"/>
      <c r="U10" s="8"/>
      <c r="V10" s="8"/>
      <c r="W10" s="8"/>
      <c r="X10" t="s" s="7">
        <v>63</v>
      </c>
      <c r="Y10" t="s" s="7">
        <v>64</v>
      </c>
      <c r="Z10" s="9">
        <v>1</v>
      </c>
      <c r="AA10" s="8"/>
      <c r="AB10" s="9">
        <v>1</v>
      </c>
      <c r="AC10" s="9">
        <v>1</v>
      </c>
      <c r="AD10" s="8"/>
    </row>
    <row r="11" ht="17" customHeight="1">
      <c r="A11" t="s" s="7">
        <v>57</v>
      </c>
      <c r="B11" t="s" s="7">
        <v>58</v>
      </c>
      <c r="C11" s="8"/>
      <c r="D11" t="s" s="7">
        <v>39</v>
      </c>
      <c r="E11" t="s" s="7">
        <v>60</v>
      </c>
      <c r="F11" t="s" s="7">
        <v>65</v>
      </c>
      <c r="G11" s="9">
        <v>1</v>
      </c>
      <c r="H11" s="8"/>
      <c r="I11" s="8"/>
      <c r="J11" s="8"/>
      <c r="K11" s="8"/>
      <c r="L11" s="8"/>
      <c r="M11" s="9">
        <v>1</v>
      </c>
      <c r="N11" s="8"/>
      <c r="O11" s="8"/>
      <c r="P11" s="8"/>
      <c r="Q11" s="9">
        <v>43</v>
      </c>
      <c r="R11" s="9">
        <v>1</v>
      </c>
      <c r="S11" s="8"/>
      <c r="T11" s="8"/>
      <c r="U11" s="9">
        <v>16</v>
      </c>
      <c r="V11" s="9">
        <v>0</v>
      </c>
      <c r="W11" s="9">
        <v>0</v>
      </c>
      <c r="X11" s="8"/>
      <c r="Y11" s="8"/>
      <c r="Z11" s="8"/>
      <c r="AA11" s="8"/>
      <c r="AB11" s="8"/>
      <c r="AC11" s="9">
        <v>1</v>
      </c>
      <c r="AD11" s="8"/>
    </row>
    <row r="12" ht="17" customHeight="1">
      <c r="A12" t="s" s="7">
        <v>66</v>
      </c>
      <c r="B12" t="s" s="7">
        <v>58</v>
      </c>
      <c r="C12" s="8"/>
      <c r="D12" t="s" s="7">
        <v>39</v>
      </c>
      <c r="E12" t="s" s="7">
        <v>67</v>
      </c>
      <c r="F12" t="s" s="7">
        <v>68</v>
      </c>
      <c r="G12" s="8"/>
      <c r="H12" s="9">
        <v>1</v>
      </c>
      <c r="I12" s="8"/>
      <c r="J12" s="8"/>
      <c r="K12" s="9">
        <v>1</v>
      </c>
      <c r="L12" s="8"/>
      <c r="M12" s="8"/>
      <c r="N12" s="8"/>
      <c r="O12" s="8"/>
      <c r="P12" s="8"/>
      <c r="Q12" s="9">
        <v>50</v>
      </c>
      <c r="R12" s="9">
        <v>1</v>
      </c>
      <c r="S12" s="8"/>
      <c r="T12" s="8"/>
      <c r="U12" s="8"/>
      <c r="V12" s="8"/>
      <c r="W12" s="8"/>
      <c r="X12" t="s" s="7">
        <v>69</v>
      </c>
      <c r="Y12" t="s" s="7">
        <v>70</v>
      </c>
      <c r="Z12" s="9">
        <v>1</v>
      </c>
      <c r="AA12" s="8"/>
      <c r="AB12" s="9">
        <v>1</v>
      </c>
      <c r="AC12" s="8"/>
      <c r="AD12" t="s" s="7">
        <v>71</v>
      </c>
    </row>
    <row r="13" ht="17" customHeight="1">
      <c r="A13" t="s" s="7">
        <v>66</v>
      </c>
      <c r="B13" t="s" s="7">
        <v>58</v>
      </c>
      <c r="C13" s="8"/>
      <c r="D13" t="s" s="7">
        <v>39</v>
      </c>
      <c r="E13" t="s" s="7">
        <v>67</v>
      </c>
      <c r="F13" t="s" s="7">
        <v>51</v>
      </c>
      <c r="G13" s="9">
        <v>1</v>
      </c>
      <c r="H13" s="8"/>
      <c r="I13" s="8"/>
      <c r="J13" s="8"/>
      <c r="K13" s="8"/>
      <c r="L13" s="9">
        <v>1</v>
      </c>
      <c r="M13" s="8"/>
      <c r="N13" s="8"/>
      <c r="O13" s="8"/>
      <c r="P13" s="8"/>
      <c r="Q13" s="9">
        <v>48</v>
      </c>
      <c r="R13" s="9">
        <v>1</v>
      </c>
      <c r="S13" s="8"/>
      <c r="T13" s="8"/>
      <c r="U13" s="9">
        <v>18</v>
      </c>
      <c r="V13" s="9">
        <v>3</v>
      </c>
      <c r="W13" s="9">
        <v>3</v>
      </c>
      <c r="X13" s="8"/>
      <c r="Y13" s="8"/>
      <c r="Z13" s="8"/>
      <c r="AA13" s="8"/>
      <c r="AB13" s="8"/>
      <c r="AC13" s="8"/>
      <c r="AD13" t="s" s="7">
        <v>72</v>
      </c>
    </row>
    <row r="14" ht="17" customHeight="1">
      <c r="A14" t="s" s="7">
        <v>66</v>
      </c>
      <c r="B14" t="s" s="7">
        <v>58</v>
      </c>
      <c r="C14" s="8"/>
      <c r="D14" t="s" s="7">
        <v>39</v>
      </c>
      <c r="E14" t="s" s="7">
        <v>67</v>
      </c>
      <c r="F14" t="s" s="7">
        <v>73</v>
      </c>
      <c r="G14" s="9">
        <v>1</v>
      </c>
      <c r="H14" s="8"/>
      <c r="I14" s="8"/>
      <c r="J14" s="8"/>
      <c r="K14" s="8"/>
      <c r="L14" s="8"/>
      <c r="M14" s="9">
        <v>1</v>
      </c>
      <c r="N14" s="8"/>
      <c r="O14" s="8"/>
      <c r="P14" s="8"/>
      <c r="Q14" s="9">
        <v>15</v>
      </c>
      <c r="R14" s="8"/>
      <c r="S14" s="9">
        <v>1</v>
      </c>
      <c r="T14" s="8"/>
      <c r="U14" s="8"/>
      <c r="V14" s="8"/>
      <c r="W14" s="8"/>
      <c r="X14" t="s" s="7">
        <v>74</v>
      </c>
      <c r="Y14" t="s" s="7">
        <v>75</v>
      </c>
      <c r="Z14" s="9">
        <v>1</v>
      </c>
      <c r="AA14" s="8"/>
      <c r="AB14" s="9">
        <v>1</v>
      </c>
      <c r="AC14" s="9">
        <v>1</v>
      </c>
      <c r="AD14" s="8"/>
    </row>
    <row r="15" ht="17" customHeight="1">
      <c r="A15" t="s" s="7">
        <v>66</v>
      </c>
      <c r="B15" t="s" s="7">
        <v>58</v>
      </c>
      <c r="C15" s="8"/>
      <c r="D15" t="s" s="7">
        <v>39</v>
      </c>
      <c r="E15" t="s" s="7">
        <v>67</v>
      </c>
      <c r="F15" t="s" s="7">
        <v>76</v>
      </c>
      <c r="G15" s="8"/>
      <c r="H15" s="8"/>
      <c r="I15" s="9">
        <v>1</v>
      </c>
      <c r="J15" s="8"/>
      <c r="K15" s="8"/>
      <c r="L15" s="8"/>
      <c r="M15" s="9">
        <v>1</v>
      </c>
      <c r="N15" s="8"/>
      <c r="O15" s="8"/>
      <c r="P15" s="8"/>
      <c r="Q15" s="9">
        <v>12</v>
      </c>
      <c r="R15" t="s" s="7">
        <v>55</v>
      </c>
      <c r="S15" s="8"/>
      <c r="T15" s="8"/>
      <c r="U15" s="8"/>
      <c r="V15" s="8"/>
      <c r="W15" s="8"/>
      <c r="X15" t="s" s="7">
        <v>56</v>
      </c>
      <c r="Y15" t="s" s="7">
        <v>77</v>
      </c>
      <c r="Z15" s="8"/>
      <c r="AA15" s="8"/>
      <c r="AB15" s="8"/>
      <c r="AC15" s="9">
        <v>1</v>
      </c>
      <c r="AD15" s="8"/>
    </row>
    <row r="16" ht="17" customHeight="1">
      <c r="A16" t="s" s="7">
        <v>66</v>
      </c>
      <c r="B16" t="s" s="7">
        <v>58</v>
      </c>
      <c r="C16" s="8"/>
      <c r="D16" t="s" s="7">
        <v>39</v>
      </c>
      <c r="E16" t="s" s="7">
        <v>67</v>
      </c>
      <c r="F16" t="s" s="7">
        <v>78</v>
      </c>
      <c r="G16" s="8"/>
      <c r="H16" s="9">
        <v>1</v>
      </c>
      <c r="I16" s="8"/>
      <c r="J16" s="8"/>
      <c r="K16" s="8"/>
      <c r="L16" s="8"/>
      <c r="M16" s="8"/>
      <c r="N16" s="9">
        <v>1</v>
      </c>
      <c r="O16" s="8"/>
      <c r="P16" s="8"/>
      <c r="Q16" s="9">
        <v>17</v>
      </c>
      <c r="R16" s="8"/>
      <c r="S16" s="9">
        <v>1</v>
      </c>
      <c r="T16" s="8"/>
      <c r="U16" s="8"/>
      <c r="V16" s="8"/>
      <c r="W16" s="8"/>
      <c r="X16" t="s" s="7">
        <v>79</v>
      </c>
      <c r="Y16" t="s" s="7">
        <v>80</v>
      </c>
      <c r="Z16" s="9">
        <v>1</v>
      </c>
      <c r="AA16" s="8"/>
      <c r="AB16" s="9">
        <v>1</v>
      </c>
      <c r="AC16" s="9">
        <v>1</v>
      </c>
      <c r="AD16" s="8"/>
    </row>
    <row r="17" ht="17" customHeight="1">
      <c r="A17" t="s" s="7">
        <v>66</v>
      </c>
      <c r="B17" t="s" s="7">
        <v>58</v>
      </c>
      <c r="C17" s="8"/>
      <c r="D17" t="s" s="7">
        <v>39</v>
      </c>
      <c r="E17" t="s" s="7">
        <v>81</v>
      </c>
      <c r="F17" t="s" s="7">
        <v>82</v>
      </c>
      <c r="G17" s="8"/>
      <c r="H17" s="9">
        <v>1</v>
      </c>
      <c r="I17" s="8"/>
      <c r="J17" s="8"/>
      <c r="K17" s="8"/>
      <c r="L17" s="8"/>
      <c r="M17" s="8"/>
      <c r="N17" s="8"/>
      <c r="O17" t="s" s="7">
        <v>83</v>
      </c>
      <c r="P17" s="8"/>
      <c r="Q17" s="9">
        <v>18</v>
      </c>
      <c r="R17" s="8"/>
      <c r="S17" s="9">
        <v>1</v>
      </c>
      <c r="T17" s="8"/>
      <c r="U17" s="8"/>
      <c r="V17" s="8"/>
      <c r="W17" s="8"/>
      <c r="X17" t="s" s="7">
        <v>84</v>
      </c>
      <c r="Y17" t="s" s="7">
        <v>85</v>
      </c>
      <c r="Z17" s="9">
        <v>1</v>
      </c>
      <c r="AA17" s="8"/>
      <c r="AB17" s="9">
        <v>1</v>
      </c>
      <c r="AC17" s="9">
        <v>1</v>
      </c>
      <c r="AD17" s="8"/>
    </row>
    <row r="18" ht="17" customHeight="1">
      <c r="A18" t="s" s="7">
        <v>86</v>
      </c>
      <c r="B18" t="s" s="7">
        <v>58</v>
      </c>
      <c r="C18" s="8"/>
      <c r="D18" t="s" s="7">
        <v>39</v>
      </c>
      <c r="E18" t="s" s="7">
        <v>87</v>
      </c>
      <c r="F18" t="s" s="7">
        <v>88</v>
      </c>
      <c r="G18" s="8"/>
      <c r="H18" s="9">
        <v>1</v>
      </c>
      <c r="I18" s="8"/>
      <c r="J18" s="8"/>
      <c r="K18" s="9">
        <v>1</v>
      </c>
      <c r="L18" s="8"/>
      <c r="M18" s="8"/>
      <c r="N18" s="8"/>
      <c r="O18" s="8"/>
      <c r="P18" s="8"/>
      <c r="Q18" s="9">
        <v>61</v>
      </c>
      <c r="R18" s="9">
        <v>1</v>
      </c>
      <c r="S18" s="8"/>
      <c r="T18" s="8"/>
      <c r="U18" s="8"/>
      <c r="V18" s="8"/>
      <c r="W18" s="8"/>
      <c r="X18" t="s" s="7">
        <v>89</v>
      </c>
      <c r="Y18" s="8"/>
      <c r="Z18" s="9">
        <v>1</v>
      </c>
      <c r="AA18" s="8"/>
      <c r="AB18" s="9">
        <v>1</v>
      </c>
      <c r="AC18" s="9">
        <v>1</v>
      </c>
      <c r="AD18" s="8"/>
    </row>
    <row r="19" ht="17" customHeight="1">
      <c r="A19" t="s" s="7">
        <v>86</v>
      </c>
      <c r="B19" t="s" s="7">
        <v>58</v>
      </c>
      <c r="C19" s="8"/>
      <c r="D19" t="s" s="7">
        <v>39</v>
      </c>
      <c r="E19" t="s" s="7">
        <v>87</v>
      </c>
      <c r="F19" t="s" s="7">
        <v>43</v>
      </c>
      <c r="G19" s="9">
        <v>1</v>
      </c>
      <c r="H19" s="8"/>
      <c r="I19" s="8"/>
      <c r="J19" s="8"/>
      <c r="K19" s="8"/>
      <c r="L19" s="9">
        <v>1</v>
      </c>
      <c r="M19" s="8"/>
      <c r="N19" s="8"/>
      <c r="O19" s="8"/>
      <c r="P19" s="8"/>
      <c r="Q19" s="9">
        <v>61</v>
      </c>
      <c r="R19" s="9">
        <v>1</v>
      </c>
      <c r="S19" s="8"/>
      <c r="T19" s="8"/>
      <c r="U19" s="9">
        <v>34</v>
      </c>
      <c r="V19" s="9">
        <v>4</v>
      </c>
      <c r="W19" s="9">
        <v>3</v>
      </c>
      <c r="X19" t="s" s="7">
        <v>90</v>
      </c>
      <c r="Y19" s="8"/>
      <c r="Z19" s="9">
        <v>1</v>
      </c>
      <c r="AA19" s="8"/>
      <c r="AB19" s="9">
        <v>1</v>
      </c>
      <c r="AC19" s="9">
        <v>1</v>
      </c>
      <c r="AD19" s="8"/>
    </row>
    <row r="20" ht="17" customHeight="1">
      <c r="A20" t="s" s="7">
        <v>86</v>
      </c>
      <c r="B20" t="s" s="7">
        <v>58</v>
      </c>
      <c r="C20" s="8"/>
      <c r="D20" t="s" s="7">
        <v>39</v>
      </c>
      <c r="E20" t="s" s="7">
        <v>87</v>
      </c>
      <c r="F20" t="s" s="7">
        <v>91</v>
      </c>
      <c r="G20" s="9">
        <v>1</v>
      </c>
      <c r="H20" s="8"/>
      <c r="I20" s="8"/>
      <c r="J20" s="8"/>
      <c r="K20" s="8"/>
      <c r="L20" s="8"/>
      <c r="M20" s="9">
        <v>1</v>
      </c>
      <c r="N20" s="8"/>
      <c r="O20" s="8"/>
      <c r="P20" s="8"/>
      <c r="Q20" s="9">
        <v>32</v>
      </c>
      <c r="R20" s="8"/>
      <c r="S20" s="9">
        <v>1</v>
      </c>
      <c r="T20" s="8"/>
      <c r="U20" s="8"/>
      <c r="V20" s="8"/>
      <c r="W20" s="8"/>
      <c r="X20" t="s" s="7">
        <v>92</v>
      </c>
      <c r="Y20" s="8"/>
      <c r="Z20" s="9">
        <v>1</v>
      </c>
      <c r="AA20" s="8"/>
      <c r="AB20" s="9">
        <v>1</v>
      </c>
      <c r="AC20" s="9">
        <v>1</v>
      </c>
      <c r="AD20" s="8"/>
    </row>
    <row r="21" ht="17" customHeight="1">
      <c r="A21" t="s" s="7">
        <v>93</v>
      </c>
      <c r="B21" s="8"/>
      <c r="C21" s="9">
        <v>4</v>
      </c>
      <c r="D21" s="8"/>
      <c r="E21" s="9">
        <v>6</v>
      </c>
      <c r="F21" s="9">
        <v>18</v>
      </c>
      <c r="G21" s="9">
        <f>SUM(G3:G20)</f>
        <v>9</v>
      </c>
      <c r="H21" s="9">
        <v>7</v>
      </c>
      <c r="I21" s="9">
        <v>2</v>
      </c>
      <c r="J21" s="9">
        <v>0</v>
      </c>
      <c r="K21" s="9">
        <v>4</v>
      </c>
      <c r="L21" s="9">
        <v>3</v>
      </c>
      <c r="M21" s="9">
        <v>6</v>
      </c>
      <c r="N21" s="9">
        <v>2</v>
      </c>
      <c r="O21" s="9">
        <v>3</v>
      </c>
      <c r="P21" s="9">
        <v>0</v>
      </c>
      <c r="Q21" s="9">
        <v>669</v>
      </c>
      <c r="R21" s="9">
        <v>8</v>
      </c>
      <c r="S21" s="9">
        <v>7</v>
      </c>
      <c r="T21" s="9">
        <v>1</v>
      </c>
      <c r="U21" s="9">
        <v>96</v>
      </c>
      <c r="V21" s="9">
        <v>12</v>
      </c>
      <c r="W21" s="9">
        <v>11</v>
      </c>
      <c r="X21" s="9">
        <v>0</v>
      </c>
      <c r="Y21" s="9">
        <v>0</v>
      </c>
      <c r="Z21" s="9">
        <v>12</v>
      </c>
      <c r="AA21" s="9">
        <v>0</v>
      </c>
      <c r="AB21" s="9">
        <v>12</v>
      </c>
      <c r="AC21" s="9">
        <v>15</v>
      </c>
      <c r="AD21" s="9">
        <v>3</v>
      </c>
    </row>
    <row r="22" ht="17" customHeight="1">
      <c r="A22" s="8"/>
      <c r="B22" s="8"/>
      <c r="C22" s="8"/>
      <c r="D22" s="8"/>
      <c r="E22" s="8"/>
      <c r="F22" t="s" s="7">
        <v>94</v>
      </c>
      <c r="G22" s="10">
        <v>0.666666666666667</v>
      </c>
      <c r="H22" s="8"/>
      <c r="I22" s="8"/>
      <c r="J22" s="8"/>
      <c r="K22" s="8"/>
      <c r="L22" s="8"/>
      <c r="M22" s="8"/>
      <c r="N22" s="8"/>
      <c r="O22" s="8"/>
      <c r="P22" t="s" s="7">
        <v>95</v>
      </c>
      <c r="Q22" s="9">
        <v>37.1666666666667</v>
      </c>
      <c r="R22" s="8"/>
      <c r="S22" s="8"/>
      <c r="T22" s="8"/>
      <c r="U22" s="8"/>
      <c r="V22" s="8"/>
      <c r="W22" s="8"/>
      <c r="X22" s="8"/>
      <c r="Y22" s="8"/>
      <c r="Z22" t="s" s="7">
        <v>96</v>
      </c>
      <c r="AA22" s="9">
        <v>0.666666666666667</v>
      </c>
      <c r="AB22" s="8"/>
      <c r="AC22" s="9">
        <v>0.833333333333333</v>
      </c>
      <c r="AD22" s="8"/>
    </row>
    <row r="23" ht="17" customHeight="1">
      <c r="A23" s="8"/>
      <c r="B23" s="8"/>
      <c r="C23" s="8"/>
      <c r="D23" s="8"/>
      <c r="E23" s="8"/>
      <c r="F23" t="s" s="7">
        <v>97</v>
      </c>
      <c r="G23" s="9">
        <v>4</v>
      </c>
      <c r="H23" s="8"/>
      <c r="I23" s="8"/>
      <c r="J23" s="8"/>
      <c r="K23" s="8"/>
      <c r="L23" s="8"/>
      <c r="M23" s="8"/>
      <c r="N23" s="8"/>
      <c r="O23" s="8"/>
      <c r="P23" t="s" s="7">
        <v>98</v>
      </c>
      <c r="Q23" s="9">
        <v>33.1666666666667</v>
      </c>
      <c r="R23" s="8"/>
      <c r="S23" s="8"/>
      <c r="T23" s="8"/>
      <c r="U23" s="8"/>
      <c r="V23" s="8"/>
      <c r="W23" s="8"/>
      <c r="X23" s="8"/>
      <c r="Y23" s="8"/>
      <c r="Z23" s="8"/>
      <c r="AA23" s="8"/>
      <c r="AB23" s="8"/>
      <c r="AC23" s="8"/>
      <c r="AD23" s="8"/>
    </row>
    <row r="24" ht="17" customHeight="1">
      <c r="A24" s="8"/>
      <c r="B24" s="8"/>
      <c r="C24" s="8"/>
      <c r="D24" s="8"/>
      <c r="E24" s="8"/>
      <c r="F24" t="s" s="7">
        <v>99</v>
      </c>
      <c r="G24" s="9">
        <v>3</v>
      </c>
      <c r="H24" s="8"/>
      <c r="I24" s="8"/>
      <c r="J24" t="s" s="7">
        <v>100</v>
      </c>
      <c r="K24" s="9">
        <f>F21-Z21</f>
        <v>6</v>
      </c>
      <c r="L24" s="8"/>
      <c r="M24" s="8"/>
      <c r="N24" s="8"/>
      <c r="O24" s="8"/>
      <c r="P24" s="8"/>
      <c r="Q24" s="8"/>
      <c r="R24" s="8"/>
      <c r="S24" s="8"/>
      <c r="T24" s="8"/>
      <c r="U24" s="8"/>
      <c r="V24" s="8"/>
      <c r="W24" s="8"/>
      <c r="X24" s="8"/>
      <c r="Y24" s="8"/>
      <c r="Z24" s="8"/>
      <c r="AA24" s="8"/>
      <c r="AB24" s="8"/>
      <c r="AC24" s="8"/>
      <c r="AD24" s="8"/>
    </row>
    <row r="25" ht="17" customHeight="1">
      <c r="A25" s="8"/>
      <c r="B25" s="8"/>
      <c r="C25" s="8"/>
      <c r="D25" s="8"/>
      <c r="E25" s="8"/>
      <c r="F25" t="s" s="7">
        <v>101</v>
      </c>
      <c r="G25" s="9">
        <v>2</v>
      </c>
      <c r="H25" s="8"/>
      <c r="I25" s="8"/>
      <c r="J25" s="8"/>
      <c r="K25" s="8"/>
      <c r="L25" s="8"/>
      <c r="M25" s="8"/>
      <c r="N25" s="8"/>
      <c r="O25" s="8"/>
      <c r="P25" s="8"/>
      <c r="Q25" s="8"/>
      <c r="R25" s="8"/>
      <c r="S25" s="8"/>
      <c r="T25" s="8"/>
      <c r="U25" s="8"/>
      <c r="V25" s="8"/>
      <c r="W25" s="8"/>
      <c r="X25" s="8"/>
      <c r="Y25" s="8"/>
      <c r="Z25" s="8"/>
      <c r="AA25" s="8"/>
      <c r="AB25" s="8"/>
      <c r="AC25" s="8"/>
      <c r="AD25" s="8"/>
    </row>
    <row r="26" ht="17" customHeight="1">
      <c r="A26" s="8"/>
      <c r="B26" s="8"/>
      <c r="C26" s="8"/>
      <c r="D26" s="8"/>
      <c r="E26" s="8"/>
      <c r="F26" t="s" s="7">
        <v>102</v>
      </c>
      <c r="G26" s="9">
        <v>6</v>
      </c>
      <c r="H26" s="8"/>
      <c r="I26" s="8"/>
      <c r="J26" s="8"/>
      <c r="K26" s="8"/>
      <c r="L26" s="8"/>
      <c r="M26" s="8"/>
      <c r="N26" s="8"/>
      <c r="O26" s="8"/>
      <c r="P26" s="8"/>
      <c r="Q26" s="8"/>
      <c r="R26" s="8"/>
      <c r="S26" s="8"/>
      <c r="T26" s="8"/>
      <c r="U26" s="8"/>
      <c r="V26" s="8"/>
      <c r="W26" s="8"/>
      <c r="X26" s="8"/>
      <c r="Y26" s="8"/>
      <c r="Z26" s="8"/>
      <c r="AA26" s="8"/>
      <c r="AB26" s="8"/>
      <c r="AC26" s="8"/>
      <c r="AD26" s="8"/>
    </row>
    <row r="27" ht="17" customHeight="1">
      <c r="A27" s="8"/>
      <c r="B27" s="8"/>
      <c r="C27" s="8"/>
      <c r="D27" s="8"/>
      <c r="E27" s="8"/>
      <c r="F27" t="s" s="7">
        <v>103</v>
      </c>
      <c r="G27" s="9">
        <v>1</v>
      </c>
      <c r="H27" s="8"/>
      <c r="I27" s="8"/>
      <c r="J27" s="8"/>
      <c r="K27" s="8"/>
      <c r="L27" s="8"/>
      <c r="M27" s="8"/>
      <c r="N27" s="8"/>
      <c r="O27" s="8"/>
      <c r="P27" s="8"/>
      <c r="Q27" s="8"/>
      <c r="R27" s="8"/>
      <c r="S27" s="8"/>
      <c r="T27" s="8"/>
      <c r="U27" s="8"/>
      <c r="V27" s="8"/>
      <c r="W27" s="8"/>
      <c r="X27" s="8"/>
      <c r="Y27" s="8"/>
      <c r="Z27" s="8"/>
      <c r="AA27" s="8"/>
      <c r="AB27" s="8"/>
      <c r="AC27" s="8"/>
      <c r="AD27" s="8"/>
    </row>
    <row r="28" ht="17" customHeight="1">
      <c r="A28" s="8"/>
      <c r="B28" s="8"/>
      <c r="C28" s="8"/>
      <c r="D28" s="8"/>
      <c r="E28" s="8"/>
      <c r="F28" t="s" s="7">
        <v>62</v>
      </c>
      <c r="G28" s="9">
        <v>1</v>
      </c>
      <c r="H28" s="8"/>
      <c r="I28" s="8"/>
      <c r="J28" s="8"/>
      <c r="K28" s="8"/>
      <c r="L28" s="8"/>
      <c r="M28" s="8"/>
      <c r="N28" s="8"/>
      <c r="O28" s="8"/>
      <c r="P28" s="8"/>
      <c r="Q28" s="8"/>
      <c r="R28" s="8"/>
      <c r="S28" s="8"/>
      <c r="T28" s="8"/>
      <c r="U28" s="8"/>
      <c r="V28" s="8"/>
      <c r="W28" s="8"/>
      <c r="X28" s="8"/>
      <c r="Y28" s="8"/>
      <c r="Z28" s="8"/>
      <c r="AA28" s="8"/>
      <c r="AB28" s="8"/>
      <c r="AC28" s="8"/>
      <c r="AD28" s="8"/>
    </row>
    <row r="29" ht="17" customHeight="1">
      <c r="A29" s="8"/>
      <c r="B29" s="8"/>
      <c r="C29" s="8"/>
      <c r="D29" s="8"/>
      <c r="E29" s="8"/>
      <c r="F29" t="s" s="7">
        <v>83</v>
      </c>
      <c r="G29" s="9">
        <v>1</v>
      </c>
      <c r="H29" s="8"/>
      <c r="I29" s="8"/>
      <c r="J29" s="8"/>
      <c r="K29" s="8"/>
      <c r="L29" s="8"/>
      <c r="M29" s="8"/>
      <c r="N29" s="8"/>
      <c r="O29" s="8"/>
      <c r="P29" s="8"/>
      <c r="Q29" s="8"/>
      <c r="R29" s="8"/>
      <c r="S29" s="8"/>
      <c r="T29" s="8"/>
      <c r="U29" s="8"/>
      <c r="V29" s="8"/>
      <c r="W29" s="8"/>
      <c r="X29" s="8"/>
      <c r="Y29" s="8"/>
      <c r="Z29" s="8"/>
      <c r="AA29" s="8"/>
      <c r="AB29" s="8"/>
      <c r="AC29" s="8"/>
      <c r="AD29" s="8"/>
    </row>
    <row r="30" ht="17" customHeight="1">
      <c r="A30" s="8"/>
      <c r="B30" s="8"/>
      <c r="C30" s="8"/>
      <c r="D30" s="8"/>
      <c r="E30" s="8"/>
      <c r="F30" s="8"/>
      <c r="G30" s="9">
        <v>18</v>
      </c>
      <c r="H30" s="8"/>
      <c r="I30" s="8"/>
      <c r="J30" s="8"/>
      <c r="K30" s="8"/>
      <c r="L30" s="8"/>
      <c r="M30" s="8"/>
      <c r="N30" s="8"/>
      <c r="O30" s="8"/>
      <c r="P30" s="8"/>
      <c r="Q30" s="8"/>
      <c r="R30" s="8"/>
      <c r="S30" s="8"/>
      <c r="T30" s="8"/>
      <c r="U30" s="8"/>
      <c r="V30" s="8"/>
      <c r="W30" s="8"/>
      <c r="X30" s="8"/>
      <c r="Y30" s="8"/>
      <c r="Z30" s="8"/>
      <c r="AA30" s="8"/>
      <c r="AB30" s="8"/>
      <c r="AC30" s="8"/>
      <c r="AD3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Q71"/>
  <sheetViews>
    <sheetView workbookViewId="0" showGridLines="0" defaultGridColor="1"/>
  </sheetViews>
  <sheetFormatPr defaultColWidth="10.8333" defaultRowHeight="16" customHeight="1" outlineLevelRow="0" outlineLevelCol="0"/>
  <cols>
    <col min="1" max="3" width="10.8516" style="11" customWidth="1"/>
    <col min="4" max="4" width="17.8516" style="11" customWidth="1"/>
    <col min="5" max="5" width="20.1719" style="11" customWidth="1"/>
    <col min="6" max="6" width="22.8516" style="11" customWidth="1"/>
    <col min="7" max="10" width="10.8516" style="11" customWidth="1"/>
    <col min="11" max="11" width="19.1719" style="11" customWidth="1"/>
    <col min="12" max="12" width="7.85156" style="11" customWidth="1"/>
    <col min="13" max="13" width="10" style="11" customWidth="1"/>
    <col min="14" max="14" width="6" style="11" customWidth="1"/>
    <col min="15" max="15" width="9.85156" style="11" customWidth="1"/>
    <col min="16" max="16" width="11.5" style="11" customWidth="1"/>
    <col min="17" max="17" width="11.6719" style="11" customWidth="1"/>
    <col min="18" max="18" width="12.3516" style="11" customWidth="1"/>
    <col min="19" max="19" width="10.8516" style="11" customWidth="1"/>
    <col min="20" max="20" width="15.1719" style="11" customWidth="1"/>
    <col min="21" max="23" width="10.8516" style="11" customWidth="1"/>
    <col min="24" max="24" width="31" style="11" customWidth="1"/>
    <col min="25" max="25" width="19.8516" style="11" customWidth="1"/>
    <col min="26" max="26" width="12.1719" style="11" customWidth="1"/>
    <col min="27" max="30" width="16.5" style="11" customWidth="1"/>
    <col min="31" max="31" width="15.1719" style="11" customWidth="1"/>
    <col min="32" max="32" width="14.6719" style="11" customWidth="1"/>
    <col min="33" max="33" width="11" style="11" customWidth="1"/>
    <col min="34" max="34" width="11.1719" style="11" customWidth="1"/>
    <col min="35" max="35" width="7.85156" style="11" customWidth="1"/>
    <col min="36" max="37" width="10.8516" style="11" customWidth="1"/>
    <col min="38" max="38" width="7.35156" style="11" customWidth="1"/>
    <col min="39" max="39" width="10.8516" style="11" customWidth="1"/>
    <col min="40" max="40" width="9.17188" style="11" customWidth="1"/>
    <col min="41" max="41" width="10.8516" style="11" customWidth="1"/>
    <col min="42" max="42" width="12.5" style="11" customWidth="1"/>
    <col min="43" max="43" width="13" style="11" customWidth="1"/>
    <col min="44" max="16384" width="10.8516" style="11" customWidth="1"/>
  </cols>
  <sheetData>
    <row r="1" ht="47" customHeight="1">
      <c r="A1" t="s" s="12">
        <v>6</v>
      </c>
      <c r="B1" t="s" s="12">
        <v>7</v>
      </c>
      <c r="C1" t="s" s="13">
        <v>8</v>
      </c>
      <c r="D1" t="s" s="14">
        <v>9</v>
      </c>
      <c r="E1" t="s" s="13">
        <v>10</v>
      </c>
      <c r="F1" t="s" s="14">
        <v>11</v>
      </c>
      <c r="G1" t="s" s="14">
        <v>12</v>
      </c>
      <c r="H1" s="15"/>
      <c r="I1" s="15"/>
      <c r="J1" s="15"/>
      <c r="K1" t="s" s="16">
        <v>13</v>
      </c>
      <c r="L1" s="15"/>
      <c r="M1" s="15"/>
      <c r="N1" s="15"/>
      <c r="O1" s="15"/>
      <c r="P1" s="15"/>
      <c r="Q1" t="s" s="16">
        <v>14</v>
      </c>
      <c r="R1" t="s" s="16">
        <v>105</v>
      </c>
      <c r="S1" t="s" s="16">
        <v>106</v>
      </c>
      <c r="T1" t="s" s="16">
        <v>107</v>
      </c>
      <c r="U1" t="s" s="14">
        <v>16</v>
      </c>
      <c r="V1" t="s" s="14">
        <v>17</v>
      </c>
      <c r="W1" t="s" s="14">
        <v>18</v>
      </c>
      <c r="X1" t="s" s="14">
        <v>19</v>
      </c>
      <c r="Y1" t="s" s="14">
        <v>20</v>
      </c>
      <c r="Z1" t="s" s="14">
        <v>108</v>
      </c>
      <c r="AA1" t="s" s="14">
        <v>22</v>
      </c>
      <c r="AB1" s="15"/>
      <c r="AC1" t="s" s="14">
        <v>23</v>
      </c>
      <c r="AD1" s="15"/>
      <c r="AE1" s="17"/>
      <c r="AF1" t="s" s="13">
        <v>109</v>
      </c>
      <c r="AG1" t="s" s="13">
        <v>110</v>
      </c>
      <c r="AH1" t="s" s="14">
        <v>111</v>
      </c>
      <c r="AI1" t="s" s="14">
        <v>112</v>
      </c>
      <c r="AJ1" t="s" s="14">
        <v>113</v>
      </c>
      <c r="AK1" t="s" s="14">
        <v>114</v>
      </c>
      <c r="AL1" t="s" s="14">
        <v>115</v>
      </c>
      <c r="AM1" t="s" s="14">
        <v>116</v>
      </c>
      <c r="AN1" t="s" s="14">
        <v>35</v>
      </c>
      <c r="AO1" t="s" s="14">
        <v>36</v>
      </c>
      <c r="AP1" t="s" s="14">
        <v>117</v>
      </c>
      <c r="AQ1" t="s" s="14">
        <v>118</v>
      </c>
    </row>
    <row r="2" ht="47" customHeight="1">
      <c r="A2" t="s" s="18">
        <v>119</v>
      </c>
      <c r="B2" t="s" s="19">
        <v>120</v>
      </c>
      <c r="C2" s="20"/>
      <c r="D2" s="15"/>
      <c r="E2" s="17"/>
      <c r="F2" s="15"/>
      <c r="G2" t="s" s="14">
        <v>24</v>
      </c>
      <c r="H2" t="s" s="14">
        <v>25</v>
      </c>
      <c r="I2" t="s" s="14">
        <v>26</v>
      </c>
      <c r="J2" t="s" s="21">
        <v>27</v>
      </c>
      <c r="K2" t="s" s="22">
        <v>28</v>
      </c>
      <c r="L2" t="s" s="23">
        <v>29</v>
      </c>
      <c r="M2" t="s" s="14">
        <v>30</v>
      </c>
      <c r="N2" t="s" s="14">
        <v>31</v>
      </c>
      <c r="O2" t="s" s="14">
        <v>32</v>
      </c>
      <c r="P2" t="s" s="21">
        <v>33</v>
      </c>
      <c r="Q2" t="s" s="24">
        <v>121</v>
      </c>
      <c r="R2" t="s" s="25">
        <v>122</v>
      </c>
      <c r="S2" t="s" s="26">
        <v>123</v>
      </c>
      <c r="T2" t="s" s="27">
        <v>124</v>
      </c>
      <c r="U2" s="28"/>
      <c r="V2" s="15"/>
      <c r="W2" s="15"/>
      <c r="X2" s="15"/>
      <c r="Y2" s="15"/>
      <c r="Z2" s="15"/>
      <c r="AA2" t="s" s="14">
        <v>35</v>
      </c>
      <c r="AB2" t="s" s="14">
        <v>125</v>
      </c>
      <c r="AC2" t="s" s="14">
        <v>37</v>
      </c>
      <c r="AD2" t="s" s="13">
        <v>32</v>
      </c>
      <c r="AE2" s="17"/>
      <c r="AF2" s="17"/>
      <c r="AG2" s="29">
        <v>13</v>
      </c>
      <c r="AH2" s="29">
        <v>62</v>
      </c>
      <c r="AI2" s="29">
        <v>36</v>
      </c>
      <c r="AJ2" s="29">
        <v>26</v>
      </c>
      <c r="AK2" s="29">
        <v>11</v>
      </c>
      <c r="AL2" s="29">
        <v>37</v>
      </c>
      <c r="AM2" s="29">
        <v>12</v>
      </c>
      <c r="AN2" s="29">
        <v>8</v>
      </c>
      <c r="AO2" s="29">
        <v>28</v>
      </c>
      <c r="AP2" s="29">
        <v>29</v>
      </c>
      <c r="AQ2" s="29">
        <v>33</v>
      </c>
    </row>
    <row r="3" ht="19" customHeight="1">
      <c r="A3" t="s" s="30">
        <v>126</v>
      </c>
      <c r="B3" s="31"/>
      <c r="C3" s="29">
        <v>19</v>
      </c>
      <c r="D3" t="s" s="13">
        <v>127</v>
      </c>
      <c r="E3" t="s" s="13">
        <v>128</v>
      </c>
      <c r="F3" t="s" s="14">
        <v>129</v>
      </c>
      <c r="G3" s="32">
        <v>0</v>
      </c>
      <c r="H3" s="32">
        <v>1</v>
      </c>
      <c r="I3" s="32">
        <v>0</v>
      </c>
      <c r="J3" s="32">
        <v>0</v>
      </c>
      <c r="K3" s="33">
        <v>1</v>
      </c>
      <c r="L3" s="32">
        <v>0</v>
      </c>
      <c r="M3" s="32">
        <v>0</v>
      </c>
      <c r="N3" s="32">
        <v>0</v>
      </c>
      <c r="O3" s="15"/>
      <c r="P3" s="32">
        <v>0</v>
      </c>
      <c r="Q3" s="33">
        <v>66</v>
      </c>
      <c r="R3" s="34">
        <v>1</v>
      </c>
      <c r="S3" s="33">
        <v>0</v>
      </c>
      <c r="T3" s="33">
        <v>0</v>
      </c>
      <c r="U3" s="15"/>
      <c r="V3" s="15"/>
      <c r="W3" s="15"/>
      <c r="X3" t="s" s="14">
        <v>130</v>
      </c>
      <c r="Y3" s="15"/>
      <c r="Z3" s="15"/>
      <c r="AA3" s="32">
        <v>0</v>
      </c>
      <c r="AB3" s="32">
        <v>0</v>
      </c>
      <c r="AC3" s="32">
        <v>1</v>
      </c>
      <c r="AD3" s="15"/>
      <c r="AE3" s="17"/>
      <c r="AF3" s="17"/>
      <c r="AG3" s="17"/>
      <c r="AH3" s="17"/>
      <c r="AI3" s="17"/>
      <c r="AJ3" s="17"/>
      <c r="AK3" s="17"/>
      <c r="AL3" s="17"/>
      <c r="AM3" s="17"/>
      <c r="AN3" s="17"/>
      <c r="AO3" s="17"/>
      <c r="AP3" s="17"/>
      <c r="AQ3" s="17"/>
    </row>
    <row r="4" ht="17.45" customHeight="1">
      <c r="A4" t="s" s="13">
        <v>126</v>
      </c>
      <c r="B4" s="17"/>
      <c r="C4" s="29">
        <v>19</v>
      </c>
      <c r="D4" t="s" s="13">
        <v>127</v>
      </c>
      <c r="E4" t="s" s="13">
        <v>128</v>
      </c>
      <c r="F4" t="s" s="13">
        <v>51</v>
      </c>
      <c r="G4" s="29">
        <v>1</v>
      </c>
      <c r="H4" s="29">
        <v>0</v>
      </c>
      <c r="I4" s="29">
        <v>0</v>
      </c>
      <c r="J4" s="29">
        <v>0</v>
      </c>
      <c r="K4" s="29">
        <v>0</v>
      </c>
      <c r="L4" s="29">
        <v>1</v>
      </c>
      <c r="M4" s="35">
        <v>0</v>
      </c>
      <c r="N4" s="35">
        <v>0</v>
      </c>
      <c r="O4" s="36"/>
      <c r="P4" s="35">
        <v>0</v>
      </c>
      <c r="Q4" s="37">
        <v>64</v>
      </c>
      <c r="R4" s="38">
        <v>1</v>
      </c>
      <c r="S4" s="39">
        <v>0</v>
      </c>
      <c r="T4" s="29">
        <v>0</v>
      </c>
      <c r="U4" s="29">
        <v>37</v>
      </c>
      <c r="V4" s="29">
        <v>4</v>
      </c>
      <c r="W4" s="29">
        <v>3</v>
      </c>
      <c r="X4" s="17"/>
      <c r="Y4" s="17"/>
      <c r="Z4" s="17"/>
      <c r="AA4" s="29">
        <v>0</v>
      </c>
      <c r="AB4" s="29">
        <v>0</v>
      </c>
      <c r="AC4" s="29">
        <v>1</v>
      </c>
      <c r="AD4" s="17"/>
      <c r="AE4" s="17"/>
      <c r="AF4" s="17"/>
      <c r="AG4" s="17"/>
      <c r="AH4" s="17"/>
      <c r="AI4" s="17"/>
      <c r="AJ4" s="17"/>
      <c r="AK4" s="17"/>
      <c r="AL4" s="17"/>
      <c r="AM4" s="17"/>
      <c r="AN4" s="17"/>
      <c r="AO4" s="17"/>
      <c r="AP4" s="17"/>
      <c r="AQ4" s="17"/>
    </row>
    <row r="5" ht="17.45" customHeight="1">
      <c r="A5" t="s" s="13">
        <v>126</v>
      </c>
      <c r="B5" s="17"/>
      <c r="C5" s="29">
        <v>19</v>
      </c>
      <c r="D5" t="s" s="13">
        <v>127</v>
      </c>
      <c r="E5" t="s" s="13">
        <v>128</v>
      </c>
      <c r="F5" t="s" s="13">
        <v>131</v>
      </c>
      <c r="G5" s="29">
        <v>1</v>
      </c>
      <c r="H5" s="29">
        <v>0</v>
      </c>
      <c r="I5" s="29">
        <v>0</v>
      </c>
      <c r="J5" s="29">
        <v>0</v>
      </c>
      <c r="K5" s="29">
        <v>0</v>
      </c>
      <c r="L5" s="29">
        <v>0</v>
      </c>
      <c r="M5" s="35">
        <v>1</v>
      </c>
      <c r="N5" s="35">
        <v>0</v>
      </c>
      <c r="O5" s="36"/>
      <c r="P5" s="35">
        <v>0</v>
      </c>
      <c r="Q5" s="35">
        <v>34</v>
      </c>
      <c r="R5" s="40">
        <v>0</v>
      </c>
      <c r="S5" s="41">
        <v>1</v>
      </c>
      <c r="T5" s="42">
        <v>0</v>
      </c>
      <c r="U5" s="17"/>
      <c r="V5" s="17"/>
      <c r="W5" s="17"/>
      <c r="X5" t="s" s="13">
        <v>132</v>
      </c>
      <c r="Y5" s="17"/>
      <c r="Z5" s="17"/>
      <c r="AA5" s="29">
        <v>0</v>
      </c>
      <c r="AB5" s="29">
        <v>0</v>
      </c>
      <c r="AC5" s="29">
        <v>1</v>
      </c>
      <c r="AD5" s="17"/>
      <c r="AE5" s="17"/>
      <c r="AF5" s="17"/>
      <c r="AG5" s="17"/>
      <c r="AH5" s="17"/>
      <c r="AI5" s="17"/>
      <c r="AJ5" s="17"/>
      <c r="AK5" s="17"/>
      <c r="AL5" s="17"/>
      <c r="AM5" s="17"/>
      <c r="AN5" s="17"/>
      <c r="AO5" s="17"/>
      <c r="AP5" s="17"/>
      <c r="AQ5" s="17"/>
    </row>
    <row r="6" ht="17.45" customHeight="1">
      <c r="A6" t="s" s="13">
        <v>126</v>
      </c>
      <c r="B6" s="17"/>
      <c r="C6" s="29">
        <v>19</v>
      </c>
      <c r="D6" t="s" s="13">
        <v>127</v>
      </c>
      <c r="E6" t="s" s="13">
        <v>133</v>
      </c>
      <c r="F6" t="s" s="13">
        <v>134</v>
      </c>
      <c r="G6" s="29">
        <v>1</v>
      </c>
      <c r="H6" s="29">
        <v>0</v>
      </c>
      <c r="I6" s="29">
        <v>0</v>
      </c>
      <c r="J6" s="29">
        <v>0</v>
      </c>
      <c r="K6" s="29">
        <v>0</v>
      </c>
      <c r="L6" s="29">
        <v>0</v>
      </c>
      <c r="M6" s="35">
        <v>0</v>
      </c>
      <c r="N6" s="35">
        <v>0</v>
      </c>
      <c r="O6" s="36"/>
      <c r="P6" s="35">
        <v>1</v>
      </c>
      <c r="Q6" s="35">
        <v>18</v>
      </c>
      <c r="R6" s="43">
        <v>0</v>
      </c>
      <c r="S6" s="41">
        <v>1</v>
      </c>
      <c r="T6" s="42">
        <v>0</v>
      </c>
      <c r="U6" s="17"/>
      <c r="V6" s="17"/>
      <c r="W6" s="17"/>
      <c r="X6" t="s" s="13">
        <v>135</v>
      </c>
      <c r="Y6" s="17"/>
      <c r="Z6" s="29">
        <v>1</v>
      </c>
      <c r="AA6" s="29">
        <v>0</v>
      </c>
      <c r="AB6" s="29">
        <v>1</v>
      </c>
      <c r="AC6" s="29">
        <v>1</v>
      </c>
      <c r="AD6" s="17"/>
      <c r="AE6" s="17"/>
      <c r="AF6" s="17"/>
      <c r="AG6" s="17"/>
      <c r="AH6" s="17"/>
      <c r="AI6" s="17"/>
      <c r="AJ6" s="17"/>
      <c r="AK6" s="17"/>
      <c r="AL6" s="17"/>
      <c r="AM6" s="17"/>
      <c r="AN6" s="17"/>
      <c r="AO6" s="17"/>
      <c r="AP6" s="17"/>
      <c r="AQ6" s="17"/>
    </row>
    <row r="7" ht="17.45" customHeight="1">
      <c r="A7" t="s" s="12">
        <v>126</v>
      </c>
      <c r="B7" s="17"/>
      <c r="C7" s="29">
        <v>19</v>
      </c>
      <c r="D7" t="s" s="13">
        <v>127</v>
      </c>
      <c r="E7" t="s" s="13">
        <v>136</v>
      </c>
      <c r="F7" t="s" s="13">
        <v>137</v>
      </c>
      <c r="G7" s="29">
        <v>1</v>
      </c>
      <c r="H7" s="29">
        <v>0</v>
      </c>
      <c r="I7" s="29">
        <v>0</v>
      </c>
      <c r="J7" s="29">
        <v>0</v>
      </c>
      <c r="K7" s="29">
        <v>0</v>
      </c>
      <c r="L7" s="29">
        <v>0</v>
      </c>
      <c r="M7" s="35">
        <v>0</v>
      </c>
      <c r="N7" s="35">
        <v>0</v>
      </c>
      <c r="O7" s="36"/>
      <c r="P7" s="35">
        <v>1</v>
      </c>
      <c r="Q7" s="35">
        <v>17</v>
      </c>
      <c r="R7" s="43">
        <v>0</v>
      </c>
      <c r="S7" s="41">
        <v>1</v>
      </c>
      <c r="T7" s="42">
        <v>0</v>
      </c>
      <c r="U7" s="17"/>
      <c r="V7" s="17"/>
      <c r="W7" s="17"/>
      <c r="X7" t="s" s="13">
        <v>138</v>
      </c>
      <c r="Y7" s="17"/>
      <c r="Z7" s="29">
        <v>1</v>
      </c>
      <c r="AA7" s="29">
        <v>0</v>
      </c>
      <c r="AB7" s="29">
        <v>1</v>
      </c>
      <c r="AC7" s="17"/>
      <c r="AD7" s="29">
        <v>1</v>
      </c>
      <c r="AE7" t="s" s="13">
        <v>139</v>
      </c>
      <c r="AF7" s="17"/>
      <c r="AG7" s="17"/>
      <c r="AH7" s="17"/>
      <c r="AI7" s="17"/>
      <c r="AJ7" s="17"/>
      <c r="AK7" s="17"/>
      <c r="AL7" s="17"/>
      <c r="AM7" s="17"/>
      <c r="AN7" s="17"/>
      <c r="AO7" s="17"/>
      <c r="AP7" s="17"/>
      <c r="AQ7" s="17"/>
    </row>
    <row r="8" ht="17.45" customHeight="1">
      <c r="A8" t="s" s="44">
        <v>140</v>
      </c>
      <c r="B8" s="20"/>
      <c r="C8" s="29">
        <v>17</v>
      </c>
      <c r="D8" t="s" s="13">
        <v>127</v>
      </c>
      <c r="E8" t="s" s="13">
        <v>141</v>
      </c>
      <c r="F8" t="s" s="13">
        <v>142</v>
      </c>
      <c r="G8" s="29">
        <v>0</v>
      </c>
      <c r="H8" s="29">
        <v>1</v>
      </c>
      <c r="I8" s="29">
        <v>0</v>
      </c>
      <c r="J8" s="29">
        <v>0</v>
      </c>
      <c r="K8" s="29">
        <v>1</v>
      </c>
      <c r="L8" s="29">
        <v>0</v>
      </c>
      <c r="M8" s="35">
        <v>0</v>
      </c>
      <c r="N8" s="35">
        <v>0</v>
      </c>
      <c r="O8" s="36"/>
      <c r="P8" s="35">
        <v>0</v>
      </c>
      <c r="Q8" s="35">
        <v>62</v>
      </c>
      <c r="R8" s="45">
        <v>1</v>
      </c>
      <c r="S8" s="46">
        <v>0</v>
      </c>
      <c r="T8" s="35">
        <v>0</v>
      </c>
      <c r="U8" s="17"/>
      <c r="V8" s="17"/>
      <c r="W8" s="17"/>
      <c r="X8" t="s" s="13">
        <v>143</v>
      </c>
      <c r="Y8" s="17"/>
      <c r="Z8" s="29">
        <v>1</v>
      </c>
      <c r="AA8" s="29">
        <v>1</v>
      </c>
      <c r="AB8" s="29">
        <v>0</v>
      </c>
      <c r="AC8" s="17"/>
      <c r="AD8" s="29">
        <v>1</v>
      </c>
      <c r="AE8" t="s" s="13">
        <v>144</v>
      </c>
      <c r="AF8" s="17"/>
      <c r="AG8" s="17"/>
      <c r="AH8" s="17"/>
      <c r="AI8" s="17"/>
      <c r="AJ8" s="17"/>
      <c r="AK8" s="17"/>
      <c r="AL8" s="17"/>
      <c r="AM8" s="17"/>
      <c r="AN8" s="17"/>
      <c r="AO8" s="17"/>
      <c r="AP8" s="17"/>
      <c r="AQ8" s="17"/>
    </row>
    <row r="9" ht="17.45" customHeight="1">
      <c r="A9" t="s" s="30">
        <v>140</v>
      </c>
      <c r="B9" s="17"/>
      <c r="C9" s="29">
        <v>17</v>
      </c>
      <c r="D9" t="s" s="13">
        <v>127</v>
      </c>
      <c r="E9" t="s" s="13">
        <v>141</v>
      </c>
      <c r="F9" t="s" s="13">
        <v>145</v>
      </c>
      <c r="G9" s="29">
        <v>1</v>
      </c>
      <c r="H9" s="29">
        <v>0</v>
      </c>
      <c r="I9" s="29">
        <v>0</v>
      </c>
      <c r="J9" s="29">
        <v>0</v>
      </c>
      <c r="K9" s="29">
        <v>0</v>
      </c>
      <c r="L9" s="29">
        <v>1</v>
      </c>
      <c r="M9" s="35">
        <v>0</v>
      </c>
      <c r="N9" s="35">
        <v>0</v>
      </c>
      <c r="O9" s="36"/>
      <c r="P9" s="35">
        <v>0</v>
      </c>
      <c r="Q9" s="37">
        <v>54</v>
      </c>
      <c r="R9" s="38">
        <v>1</v>
      </c>
      <c r="S9" s="42">
        <v>0</v>
      </c>
      <c r="T9" s="29">
        <v>0</v>
      </c>
      <c r="U9" s="29">
        <v>22</v>
      </c>
      <c r="V9" s="29">
        <v>1</v>
      </c>
      <c r="W9" s="29">
        <v>1</v>
      </c>
      <c r="X9" t="s" s="13">
        <v>143</v>
      </c>
      <c r="Y9" s="17"/>
      <c r="Z9" s="29">
        <v>1</v>
      </c>
      <c r="AA9" s="29">
        <v>1</v>
      </c>
      <c r="AB9" s="29">
        <v>0</v>
      </c>
      <c r="AC9" s="17"/>
      <c r="AD9" s="29">
        <v>1</v>
      </c>
      <c r="AE9" t="s" s="13">
        <v>146</v>
      </c>
      <c r="AF9" s="17"/>
      <c r="AG9" s="17"/>
      <c r="AH9" s="17"/>
      <c r="AI9" s="17"/>
      <c r="AJ9" s="17"/>
      <c r="AK9" s="17"/>
      <c r="AL9" s="17"/>
      <c r="AM9" s="17"/>
      <c r="AN9" s="17"/>
      <c r="AO9" s="17"/>
      <c r="AP9" s="17"/>
      <c r="AQ9" s="17"/>
    </row>
    <row r="10" ht="17.45" customHeight="1">
      <c r="A10" t="s" s="13">
        <v>140</v>
      </c>
      <c r="B10" s="17"/>
      <c r="C10" s="29">
        <v>17</v>
      </c>
      <c r="D10" t="s" s="13">
        <v>127</v>
      </c>
      <c r="E10" t="s" s="13">
        <v>141</v>
      </c>
      <c r="F10" t="s" s="13">
        <v>147</v>
      </c>
      <c r="G10" s="29">
        <v>0</v>
      </c>
      <c r="H10" s="29">
        <v>1</v>
      </c>
      <c r="I10" s="29">
        <v>0</v>
      </c>
      <c r="J10" s="29">
        <v>0</v>
      </c>
      <c r="K10" s="29">
        <v>0</v>
      </c>
      <c r="L10" s="29">
        <v>0</v>
      </c>
      <c r="M10" s="35">
        <v>0</v>
      </c>
      <c r="N10" s="35">
        <v>1</v>
      </c>
      <c r="O10" s="36"/>
      <c r="P10" s="35">
        <v>0</v>
      </c>
      <c r="Q10" s="35">
        <v>21</v>
      </c>
      <c r="R10" s="46">
        <v>0</v>
      </c>
      <c r="S10" s="35">
        <v>1</v>
      </c>
      <c r="T10" s="35">
        <v>0</v>
      </c>
      <c r="U10" s="17"/>
      <c r="V10" s="17"/>
      <c r="W10" s="17"/>
      <c r="X10" t="s" s="13">
        <v>143</v>
      </c>
      <c r="Y10" s="17"/>
      <c r="Z10" s="29">
        <v>1</v>
      </c>
      <c r="AA10" s="29">
        <v>1</v>
      </c>
      <c r="AB10" s="17"/>
      <c r="AC10" s="29">
        <v>1</v>
      </c>
      <c r="AD10" s="17"/>
      <c r="AE10" s="17"/>
      <c r="AF10" s="17"/>
      <c r="AG10" s="17"/>
      <c r="AH10" s="17"/>
      <c r="AI10" s="17"/>
      <c r="AJ10" s="17"/>
      <c r="AK10" s="17"/>
      <c r="AL10" s="17"/>
      <c r="AM10" s="17"/>
      <c r="AN10" s="17"/>
      <c r="AO10" s="17"/>
      <c r="AP10" s="17"/>
      <c r="AQ10" s="17"/>
    </row>
    <row r="11" ht="17" customHeight="1">
      <c r="A11" t="s" s="13">
        <v>140</v>
      </c>
      <c r="B11" s="17"/>
      <c r="C11" s="29">
        <v>17</v>
      </c>
      <c r="D11" t="s" s="13">
        <v>127</v>
      </c>
      <c r="E11" t="s" s="13">
        <v>141</v>
      </c>
      <c r="F11" t="s" s="13">
        <v>148</v>
      </c>
      <c r="G11" s="29">
        <v>0</v>
      </c>
      <c r="H11" s="29">
        <v>1</v>
      </c>
      <c r="I11" s="29">
        <v>0</v>
      </c>
      <c r="J11" s="29">
        <v>0</v>
      </c>
      <c r="K11" s="29">
        <v>0</v>
      </c>
      <c r="L11" s="29">
        <v>0</v>
      </c>
      <c r="M11" s="35">
        <v>0</v>
      </c>
      <c r="N11" s="35">
        <v>0</v>
      </c>
      <c r="O11" t="s" s="47">
        <v>149</v>
      </c>
      <c r="P11" s="35">
        <v>0</v>
      </c>
      <c r="Q11" s="35">
        <v>56</v>
      </c>
      <c r="R11" s="35">
        <v>0</v>
      </c>
      <c r="S11" s="45">
        <v>1</v>
      </c>
      <c r="T11" s="35">
        <v>0</v>
      </c>
      <c r="U11" s="17"/>
      <c r="V11" s="17"/>
      <c r="W11" s="17"/>
      <c r="X11" t="s" s="13">
        <v>150</v>
      </c>
      <c r="Y11" s="17"/>
      <c r="Z11" s="29">
        <v>1</v>
      </c>
      <c r="AA11" s="29">
        <v>1</v>
      </c>
      <c r="AB11" s="29">
        <v>0</v>
      </c>
      <c r="AC11" s="17"/>
      <c r="AD11" s="29">
        <v>1</v>
      </c>
      <c r="AE11" t="s" s="13">
        <v>151</v>
      </c>
      <c r="AF11" t="s" s="13">
        <v>152</v>
      </c>
      <c r="AG11" s="17"/>
      <c r="AH11" s="17"/>
      <c r="AI11" s="17"/>
      <c r="AJ11" s="17"/>
      <c r="AK11" s="17"/>
      <c r="AL11" s="17"/>
      <c r="AM11" s="17"/>
      <c r="AN11" s="17"/>
      <c r="AO11" s="17"/>
      <c r="AP11" s="17"/>
      <c r="AQ11" s="17"/>
    </row>
    <row r="12" ht="17.45" customHeight="1">
      <c r="A12" t="s" s="13">
        <v>140</v>
      </c>
      <c r="B12" s="17"/>
      <c r="C12" s="29">
        <v>17</v>
      </c>
      <c r="D12" t="s" s="13">
        <v>127</v>
      </c>
      <c r="E12" t="s" s="13">
        <v>153</v>
      </c>
      <c r="F12" t="s" s="13">
        <v>154</v>
      </c>
      <c r="G12" s="29">
        <v>1</v>
      </c>
      <c r="H12" s="29">
        <v>0</v>
      </c>
      <c r="I12" s="29">
        <v>0</v>
      </c>
      <c r="J12" s="29">
        <v>0</v>
      </c>
      <c r="K12" s="29">
        <v>0</v>
      </c>
      <c r="L12" s="29">
        <v>0</v>
      </c>
      <c r="M12" s="35">
        <v>0</v>
      </c>
      <c r="N12" s="35">
        <v>0</v>
      </c>
      <c r="O12" s="35">
        <v>1</v>
      </c>
      <c r="P12" s="35">
        <v>0</v>
      </c>
      <c r="Q12" s="35">
        <v>75</v>
      </c>
      <c r="R12" s="43">
        <v>0</v>
      </c>
      <c r="S12" s="41">
        <v>1</v>
      </c>
      <c r="T12" s="42">
        <v>0</v>
      </c>
      <c r="U12" s="17"/>
      <c r="V12" s="17"/>
      <c r="W12" s="17"/>
      <c r="X12" t="s" s="13">
        <v>155</v>
      </c>
      <c r="Y12" s="17"/>
      <c r="Z12" s="17"/>
      <c r="AA12" s="17"/>
      <c r="AB12" s="17"/>
      <c r="AC12" s="17"/>
      <c r="AD12" s="29">
        <v>1</v>
      </c>
      <c r="AE12" t="s" s="13">
        <v>156</v>
      </c>
      <c r="AF12" t="s" s="13">
        <v>157</v>
      </c>
      <c r="AG12" s="17"/>
      <c r="AH12" s="17"/>
      <c r="AI12" s="17"/>
      <c r="AJ12" s="17"/>
      <c r="AK12" s="17"/>
      <c r="AL12" s="17"/>
      <c r="AM12" s="17"/>
      <c r="AN12" s="17"/>
      <c r="AO12" s="17"/>
      <c r="AP12" s="17"/>
      <c r="AQ12" s="17"/>
    </row>
    <row r="13" ht="17.45" customHeight="1">
      <c r="A13" t="s" s="13">
        <v>140</v>
      </c>
      <c r="B13" s="17"/>
      <c r="C13" s="29">
        <v>17</v>
      </c>
      <c r="D13" t="s" s="13">
        <v>127</v>
      </c>
      <c r="E13" t="s" s="13">
        <v>153</v>
      </c>
      <c r="F13" t="s" s="13">
        <v>158</v>
      </c>
      <c r="G13" s="29">
        <v>1</v>
      </c>
      <c r="H13" s="29">
        <v>0</v>
      </c>
      <c r="I13" s="29">
        <v>0</v>
      </c>
      <c r="J13" s="29">
        <v>0</v>
      </c>
      <c r="K13" s="29">
        <v>0</v>
      </c>
      <c r="L13" s="17"/>
      <c r="M13" s="35">
        <v>0</v>
      </c>
      <c r="N13" s="35">
        <v>0</v>
      </c>
      <c r="O13" s="36"/>
      <c r="P13" s="35">
        <v>1</v>
      </c>
      <c r="Q13" s="35">
        <v>23</v>
      </c>
      <c r="R13" s="43">
        <v>0</v>
      </c>
      <c r="S13" s="41">
        <v>1</v>
      </c>
      <c r="T13" s="42">
        <v>0</v>
      </c>
      <c r="U13" s="17"/>
      <c r="V13" s="17"/>
      <c r="W13" s="17"/>
      <c r="X13" t="s" s="13">
        <v>159</v>
      </c>
      <c r="Y13" s="17"/>
      <c r="Z13" s="29">
        <v>1</v>
      </c>
      <c r="AA13" s="29">
        <v>0</v>
      </c>
      <c r="AB13" s="29">
        <v>1</v>
      </c>
      <c r="AC13" s="29">
        <v>1</v>
      </c>
      <c r="AD13" s="17"/>
      <c r="AE13" s="17"/>
      <c r="AF13" s="17"/>
      <c r="AG13" s="17"/>
      <c r="AH13" s="17"/>
      <c r="AI13" s="17"/>
      <c r="AJ13" s="17"/>
      <c r="AK13" s="17"/>
      <c r="AL13" s="17"/>
      <c r="AM13" s="17"/>
      <c r="AN13" s="17"/>
      <c r="AO13" s="17"/>
      <c r="AP13" s="17"/>
      <c r="AQ13" s="17"/>
    </row>
    <row r="14" ht="17.45" customHeight="1">
      <c r="A14" t="s" s="13">
        <v>140</v>
      </c>
      <c r="B14" s="17"/>
      <c r="C14" s="29">
        <v>17</v>
      </c>
      <c r="D14" t="s" s="13">
        <v>127</v>
      </c>
      <c r="E14" t="s" s="13">
        <v>160</v>
      </c>
      <c r="F14" t="s" s="13">
        <v>161</v>
      </c>
      <c r="G14" s="29">
        <v>1</v>
      </c>
      <c r="H14" s="29">
        <v>0</v>
      </c>
      <c r="I14" s="29">
        <v>0</v>
      </c>
      <c r="J14" s="29">
        <v>0</v>
      </c>
      <c r="K14" s="29">
        <v>0</v>
      </c>
      <c r="L14" s="29">
        <v>0</v>
      </c>
      <c r="M14" s="35">
        <v>0</v>
      </c>
      <c r="N14" s="35">
        <v>0</v>
      </c>
      <c r="O14" s="36"/>
      <c r="P14" s="35">
        <v>1</v>
      </c>
      <c r="Q14" s="35">
        <v>18</v>
      </c>
      <c r="R14" s="43">
        <v>0</v>
      </c>
      <c r="S14" s="41">
        <v>1</v>
      </c>
      <c r="T14" s="42">
        <v>0</v>
      </c>
      <c r="U14" s="17"/>
      <c r="V14" s="17"/>
      <c r="W14" s="17"/>
      <c r="X14" t="s" s="13">
        <v>162</v>
      </c>
      <c r="Y14" s="17"/>
      <c r="Z14" s="29">
        <v>1</v>
      </c>
      <c r="AA14" s="17"/>
      <c r="AB14" s="29">
        <v>1</v>
      </c>
      <c r="AC14" s="17"/>
      <c r="AD14" s="29">
        <v>1</v>
      </c>
      <c r="AE14" t="s" s="13">
        <v>71</v>
      </c>
      <c r="AF14" s="17"/>
      <c r="AG14" s="17"/>
      <c r="AH14" s="17"/>
      <c r="AI14" s="17"/>
      <c r="AJ14" s="17"/>
      <c r="AK14" s="17"/>
      <c r="AL14" s="17"/>
      <c r="AM14" s="17"/>
      <c r="AN14" s="17"/>
      <c r="AO14" s="17"/>
      <c r="AP14" s="17"/>
      <c r="AQ14" s="17"/>
    </row>
    <row r="15" ht="17.45" customHeight="1">
      <c r="A15" t="s" s="13">
        <v>140</v>
      </c>
      <c r="B15" s="17"/>
      <c r="C15" s="29">
        <v>17</v>
      </c>
      <c r="D15" t="s" s="13">
        <v>127</v>
      </c>
      <c r="E15" t="s" s="13">
        <v>163</v>
      </c>
      <c r="F15" t="s" s="13">
        <v>164</v>
      </c>
      <c r="G15" s="29">
        <v>1</v>
      </c>
      <c r="H15" s="29">
        <v>0</v>
      </c>
      <c r="I15" s="29">
        <v>0</v>
      </c>
      <c r="J15" s="29">
        <v>0</v>
      </c>
      <c r="K15" s="48">
        <v>0</v>
      </c>
      <c r="L15" s="29">
        <v>0</v>
      </c>
      <c r="M15" s="35">
        <v>0</v>
      </c>
      <c r="N15" s="35">
        <v>0</v>
      </c>
      <c r="O15" s="36"/>
      <c r="P15" s="35">
        <v>1</v>
      </c>
      <c r="Q15" s="35">
        <v>16</v>
      </c>
      <c r="R15" s="43">
        <v>0</v>
      </c>
      <c r="S15" s="41">
        <v>1</v>
      </c>
      <c r="T15" s="39">
        <v>0</v>
      </c>
      <c r="U15" s="17"/>
      <c r="V15" s="17"/>
      <c r="W15" s="17"/>
      <c r="X15" t="s" s="13">
        <v>165</v>
      </c>
      <c r="Y15" s="17"/>
      <c r="Z15" s="29">
        <v>1</v>
      </c>
      <c r="AA15" s="17"/>
      <c r="AB15" s="29">
        <v>1</v>
      </c>
      <c r="AC15" s="17"/>
      <c r="AD15" s="29">
        <v>1</v>
      </c>
      <c r="AE15" t="s" s="13">
        <v>166</v>
      </c>
      <c r="AF15" s="17"/>
      <c r="AG15" s="17"/>
      <c r="AH15" s="17"/>
      <c r="AI15" s="17"/>
      <c r="AJ15" s="17"/>
      <c r="AK15" s="17"/>
      <c r="AL15" s="17"/>
      <c r="AM15" s="17"/>
      <c r="AN15" s="17"/>
      <c r="AO15" s="17"/>
      <c r="AP15" s="17"/>
      <c r="AQ15" s="17"/>
    </row>
    <row r="16" ht="17.45" customHeight="1">
      <c r="A16" t="s" s="13">
        <v>167</v>
      </c>
      <c r="B16" s="17"/>
      <c r="C16" s="29">
        <v>15</v>
      </c>
      <c r="D16" t="s" s="13">
        <v>168</v>
      </c>
      <c r="E16" t="s" s="13">
        <v>169</v>
      </c>
      <c r="F16" t="s" s="13">
        <v>170</v>
      </c>
      <c r="G16" s="29">
        <v>1</v>
      </c>
      <c r="H16" s="29">
        <v>0</v>
      </c>
      <c r="I16" s="29">
        <v>0</v>
      </c>
      <c r="J16" s="37">
        <v>0</v>
      </c>
      <c r="K16" s="49">
        <v>1</v>
      </c>
      <c r="L16" s="50">
        <v>0</v>
      </c>
      <c r="M16" s="35">
        <v>0</v>
      </c>
      <c r="N16" s="35">
        <v>0</v>
      </c>
      <c r="O16" s="36"/>
      <c r="P16" s="35">
        <v>0</v>
      </c>
      <c r="Q16" s="29">
        <v>75</v>
      </c>
      <c r="R16" s="35">
        <v>0</v>
      </c>
      <c r="S16" s="51">
        <v>0</v>
      </c>
      <c r="T16" s="52">
        <v>1</v>
      </c>
      <c r="U16" s="42">
        <v>0</v>
      </c>
      <c r="V16" s="35">
        <v>0</v>
      </c>
      <c r="W16" s="35">
        <v>0</v>
      </c>
      <c r="X16" t="s" s="13">
        <v>171</v>
      </c>
      <c r="Y16" s="17"/>
      <c r="Z16" s="17"/>
      <c r="AA16" s="17"/>
      <c r="AB16" s="17"/>
      <c r="AC16" s="17"/>
      <c r="AD16" s="29">
        <v>1</v>
      </c>
      <c r="AE16" t="s" s="13">
        <v>172</v>
      </c>
      <c r="AF16" s="17"/>
      <c r="AG16" s="17"/>
      <c r="AH16" s="17"/>
      <c r="AI16" s="17"/>
      <c r="AJ16" s="17"/>
      <c r="AK16" s="17"/>
      <c r="AL16" s="17"/>
      <c r="AM16" s="17"/>
      <c r="AN16" s="17"/>
      <c r="AO16" s="17"/>
      <c r="AP16" s="17"/>
      <c r="AQ16" s="17"/>
    </row>
    <row r="17" ht="17" customHeight="1">
      <c r="A17" t="s" s="13">
        <v>167</v>
      </c>
      <c r="B17" s="17"/>
      <c r="C17" s="29">
        <v>15</v>
      </c>
      <c r="D17" t="s" s="13">
        <v>168</v>
      </c>
      <c r="E17" t="s" s="13">
        <v>173</v>
      </c>
      <c r="F17" t="s" s="13">
        <v>174</v>
      </c>
      <c r="G17" s="29">
        <v>1</v>
      </c>
      <c r="H17" s="29">
        <v>0</v>
      </c>
      <c r="I17" s="29">
        <v>0</v>
      </c>
      <c r="J17" s="29">
        <v>0</v>
      </c>
      <c r="K17" s="53">
        <v>0</v>
      </c>
      <c r="L17" s="29">
        <v>0</v>
      </c>
      <c r="M17" s="35">
        <v>0</v>
      </c>
      <c r="N17" s="35">
        <v>0</v>
      </c>
      <c r="O17" t="s" s="47">
        <v>175</v>
      </c>
      <c r="P17" s="35">
        <v>0</v>
      </c>
      <c r="Q17" s="35">
        <v>68</v>
      </c>
      <c r="R17" s="43">
        <v>0</v>
      </c>
      <c r="S17" s="41">
        <v>1</v>
      </c>
      <c r="T17" s="54">
        <v>0</v>
      </c>
      <c r="U17" s="36"/>
      <c r="V17" s="36"/>
      <c r="W17" s="36"/>
      <c r="X17" t="s" s="13">
        <v>171</v>
      </c>
      <c r="Y17" s="17"/>
      <c r="Z17" s="17"/>
      <c r="AA17" s="17"/>
      <c r="AB17" s="17"/>
      <c r="AC17" s="17"/>
      <c r="AD17" s="29">
        <v>1</v>
      </c>
      <c r="AE17" t="s" s="13">
        <v>151</v>
      </c>
      <c r="AF17" s="17"/>
      <c r="AG17" s="17"/>
      <c r="AH17" s="17"/>
      <c r="AI17" s="17"/>
      <c r="AJ17" s="17"/>
      <c r="AK17" s="17"/>
      <c r="AL17" s="17"/>
      <c r="AM17" s="17"/>
      <c r="AN17" s="17"/>
      <c r="AO17" s="17"/>
      <c r="AP17" s="17"/>
      <c r="AQ17" s="17"/>
    </row>
    <row r="18" ht="17.45" customHeight="1">
      <c r="A18" t="s" s="13">
        <v>167</v>
      </c>
      <c r="B18" s="17"/>
      <c r="C18" s="29">
        <v>15</v>
      </c>
      <c r="D18" t="s" s="13">
        <v>168</v>
      </c>
      <c r="E18" t="s" s="13">
        <v>176</v>
      </c>
      <c r="F18" t="s" s="13">
        <v>177</v>
      </c>
      <c r="G18" s="29">
        <v>1</v>
      </c>
      <c r="H18" s="29">
        <v>0</v>
      </c>
      <c r="I18" s="29">
        <v>0</v>
      </c>
      <c r="J18" s="29">
        <v>0</v>
      </c>
      <c r="K18" s="29">
        <v>0</v>
      </c>
      <c r="L18" s="29">
        <v>0</v>
      </c>
      <c r="M18" s="35">
        <v>0</v>
      </c>
      <c r="N18" s="35">
        <v>0</v>
      </c>
      <c r="O18" s="36"/>
      <c r="P18" s="35">
        <v>1</v>
      </c>
      <c r="Q18" s="35">
        <v>26</v>
      </c>
      <c r="R18" s="55"/>
      <c r="S18" s="41">
        <v>1</v>
      </c>
      <c r="T18" s="39">
        <v>0</v>
      </c>
      <c r="U18" s="36"/>
      <c r="V18" s="36"/>
      <c r="W18" s="36"/>
      <c r="X18" t="s" s="13">
        <v>178</v>
      </c>
      <c r="Y18" s="17"/>
      <c r="Z18" s="29">
        <v>1</v>
      </c>
      <c r="AA18" s="17"/>
      <c r="AB18" s="29">
        <v>1</v>
      </c>
      <c r="AC18" s="17"/>
      <c r="AD18" s="29">
        <v>1</v>
      </c>
      <c r="AE18" t="s" s="13">
        <v>166</v>
      </c>
      <c r="AF18" s="17"/>
      <c r="AG18" s="17"/>
      <c r="AH18" s="17"/>
      <c r="AI18" s="17"/>
      <c r="AJ18" s="17"/>
      <c r="AK18" s="17"/>
      <c r="AL18" s="17"/>
      <c r="AM18" s="17"/>
      <c r="AN18" s="17"/>
      <c r="AO18" s="17"/>
      <c r="AP18" s="17"/>
      <c r="AQ18" s="17"/>
    </row>
    <row r="19" ht="17.45" customHeight="1">
      <c r="A19" t="s" s="13">
        <v>167</v>
      </c>
      <c r="B19" s="17"/>
      <c r="C19" s="29">
        <v>15</v>
      </c>
      <c r="D19" t="s" s="13">
        <v>168</v>
      </c>
      <c r="E19" t="s" s="13">
        <v>179</v>
      </c>
      <c r="F19" t="s" s="13">
        <v>49</v>
      </c>
      <c r="G19" s="29">
        <v>1</v>
      </c>
      <c r="H19" s="29">
        <v>0</v>
      </c>
      <c r="I19" s="29">
        <v>0</v>
      </c>
      <c r="J19" s="29">
        <v>0</v>
      </c>
      <c r="K19" s="29">
        <v>0</v>
      </c>
      <c r="L19" s="35">
        <v>0</v>
      </c>
      <c r="M19" s="35">
        <v>0</v>
      </c>
      <c r="N19" s="35">
        <v>0</v>
      </c>
      <c r="O19" s="36"/>
      <c r="P19" s="35">
        <v>1</v>
      </c>
      <c r="Q19" s="35">
        <v>52</v>
      </c>
      <c r="R19" s="35">
        <v>0</v>
      </c>
      <c r="S19" s="40">
        <v>0</v>
      </c>
      <c r="T19" s="56">
        <v>1</v>
      </c>
      <c r="U19" s="57"/>
      <c r="V19" s="36"/>
      <c r="W19" s="36"/>
      <c r="X19" t="s" s="13">
        <v>180</v>
      </c>
      <c r="Y19" s="17"/>
      <c r="Z19" s="29">
        <v>1</v>
      </c>
      <c r="AA19" s="17"/>
      <c r="AB19" s="29">
        <v>1</v>
      </c>
      <c r="AC19" s="17"/>
      <c r="AD19" s="29">
        <v>1</v>
      </c>
      <c r="AE19" t="s" s="13">
        <v>181</v>
      </c>
      <c r="AF19" s="17"/>
      <c r="AG19" s="17"/>
      <c r="AH19" s="17"/>
      <c r="AI19" s="17"/>
      <c r="AJ19" s="17"/>
      <c r="AK19" s="17"/>
      <c r="AL19" s="17"/>
      <c r="AM19" s="17"/>
      <c r="AN19" s="17"/>
      <c r="AO19" s="17"/>
      <c r="AP19" s="17"/>
      <c r="AQ19" s="17"/>
    </row>
    <row r="20" ht="17.45" customHeight="1">
      <c r="A20" t="s" s="13">
        <v>182</v>
      </c>
      <c r="B20" s="17"/>
      <c r="C20" s="29">
        <v>13</v>
      </c>
      <c r="D20" t="s" s="13">
        <v>127</v>
      </c>
      <c r="E20" t="s" s="13">
        <v>183</v>
      </c>
      <c r="F20" t="s" s="13">
        <v>184</v>
      </c>
      <c r="G20" s="29">
        <v>0</v>
      </c>
      <c r="H20" s="29">
        <v>1</v>
      </c>
      <c r="I20" s="29">
        <v>0</v>
      </c>
      <c r="J20" s="29">
        <v>0</v>
      </c>
      <c r="K20" s="29">
        <v>1</v>
      </c>
      <c r="L20" s="35">
        <v>0</v>
      </c>
      <c r="M20" s="35">
        <v>0</v>
      </c>
      <c r="N20" s="35">
        <v>0</v>
      </c>
      <c r="O20" s="35">
        <v>0</v>
      </c>
      <c r="P20" s="35">
        <v>0</v>
      </c>
      <c r="Q20" s="35">
        <v>56</v>
      </c>
      <c r="R20" s="45">
        <v>1</v>
      </c>
      <c r="S20" s="36"/>
      <c r="T20" s="58"/>
      <c r="U20" s="36"/>
      <c r="V20" s="36"/>
      <c r="W20" s="36"/>
      <c r="X20" t="s" s="13">
        <v>185</v>
      </c>
      <c r="Y20" t="s" s="13">
        <v>186</v>
      </c>
      <c r="Z20" s="29">
        <v>1</v>
      </c>
      <c r="AA20" s="29">
        <v>1</v>
      </c>
      <c r="AB20" s="17"/>
      <c r="AC20" s="17"/>
      <c r="AD20" s="29">
        <v>1</v>
      </c>
      <c r="AE20" t="s" s="13">
        <v>187</v>
      </c>
      <c r="AF20" s="17"/>
      <c r="AG20" s="17"/>
      <c r="AH20" s="17"/>
      <c r="AI20" s="17"/>
      <c r="AJ20" s="17"/>
      <c r="AK20" s="17"/>
      <c r="AL20" s="17"/>
      <c r="AM20" s="17"/>
      <c r="AN20" s="17"/>
      <c r="AO20" s="17"/>
      <c r="AP20" s="17"/>
      <c r="AQ20" s="17"/>
    </row>
    <row r="21" ht="17.45" customHeight="1">
      <c r="A21" t="s" s="13">
        <v>182</v>
      </c>
      <c r="B21" s="17"/>
      <c r="C21" s="29">
        <v>13</v>
      </c>
      <c r="D21" t="s" s="13">
        <v>127</v>
      </c>
      <c r="E21" t="s" s="13">
        <v>183</v>
      </c>
      <c r="F21" t="s" s="13">
        <v>188</v>
      </c>
      <c r="G21" s="29">
        <v>1</v>
      </c>
      <c r="H21" s="29">
        <v>0</v>
      </c>
      <c r="I21" s="29">
        <v>0</v>
      </c>
      <c r="J21" s="29">
        <v>0</v>
      </c>
      <c r="K21" s="29">
        <v>0</v>
      </c>
      <c r="L21" s="29">
        <v>1</v>
      </c>
      <c r="M21" s="35">
        <v>0</v>
      </c>
      <c r="N21" s="35">
        <v>0</v>
      </c>
      <c r="O21" s="36"/>
      <c r="P21" s="35">
        <v>0</v>
      </c>
      <c r="Q21" s="59">
        <v>52</v>
      </c>
      <c r="R21" s="38">
        <v>1</v>
      </c>
      <c r="S21" s="42">
        <v>0</v>
      </c>
      <c r="T21" s="29">
        <v>0</v>
      </c>
      <c r="U21" s="29">
        <v>12</v>
      </c>
      <c r="V21" s="29">
        <v>1</v>
      </c>
      <c r="W21" s="29">
        <v>1</v>
      </c>
      <c r="X21" s="17"/>
      <c r="Y21" s="17"/>
      <c r="Z21" s="17"/>
      <c r="AA21" s="17"/>
      <c r="AB21" s="17"/>
      <c r="AC21" s="29">
        <v>1</v>
      </c>
      <c r="AD21" s="17"/>
      <c r="AE21" s="17"/>
      <c r="AF21" s="17"/>
      <c r="AG21" s="17"/>
      <c r="AH21" s="17"/>
      <c r="AI21" s="17"/>
      <c r="AJ21" s="17"/>
      <c r="AK21" s="17"/>
      <c r="AL21" s="17"/>
      <c r="AM21" s="17"/>
      <c r="AN21" s="17"/>
      <c r="AO21" s="17"/>
      <c r="AP21" s="17"/>
      <c r="AQ21" s="17"/>
    </row>
    <row r="22" ht="17.45" customHeight="1">
      <c r="A22" t="s" s="13">
        <v>182</v>
      </c>
      <c r="B22" s="17"/>
      <c r="C22" s="29">
        <v>13</v>
      </c>
      <c r="D22" t="s" s="13">
        <v>127</v>
      </c>
      <c r="E22" t="s" s="13">
        <v>183</v>
      </c>
      <c r="F22" t="s" s="13">
        <v>189</v>
      </c>
      <c r="G22" s="17"/>
      <c r="H22" s="17"/>
      <c r="I22" s="29">
        <v>1</v>
      </c>
      <c r="J22" s="17"/>
      <c r="K22" s="17"/>
      <c r="L22" s="17"/>
      <c r="M22" s="35">
        <v>1</v>
      </c>
      <c r="N22" s="36"/>
      <c r="O22" s="36"/>
      <c r="P22" s="43">
        <v>0</v>
      </c>
      <c r="Q22" s="60">
        <v>12</v>
      </c>
      <c r="R22" s="61"/>
      <c r="S22" s="62"/>
      <c r="T22" s="17"/>
      <c r="U22" s="17"/>
      <c r="V22" s="17"/>
      <c r="W22" s="17"/>
      <c r="X22" t="s" s="13">
        <v>56</v>
      </c>
      <c r="Y22" s="17"/>
      <c r="Z22" s="17"/>
      <c r="AA22" s="17"/>
      <c r="AB22" s="17"/>
      <c r="AC22" s="29">
        <v>1</v>
      </c>
      <c r="AD22" s="17"/>
      <c r="AE22" s="17"/>
      <c r="AF22" s="17"/>
      <c r="AG22" s="17"/>
      <c r="AH22" s="17"/>
      <c r="AI22" s="17"/>
      <c r="AJ22" s="17"/>
      <c r="AK22" s="17"/>
      <c r="AL22" s="17"/>
      <c r="AM22" s="17"/>
      <c r="AN22" s="17"/>
      <c r="AO22" s="17"/>
      <c r="AP22" s="17"/>
      <c r="AQ22" s="17"/>
    </row>
    <row r="23" ht="17.45" customHeight="1">
      <c r="A23" t="s" s="13">
        <v>182</v>
      </c>
      <c r="B23" s="17"/>
      <c r="C23" s="29">
        <v>13</v>
      </c>
      <c r="D23" t="s" s="13">
        <v>127</v>
      </c>
      <c r="E23" t="s" s="13">
        <v>190</v>
      </c>
      <c r="F23" t="s" s="13">
        <v>164</v>
      </c>
      <c r="G23" s="29">
        <v>1</v>
      </c>
      <c r="H23" s="17"/>
      <c r="I23" s="17"/>
      <c r="J23" s="17"/>
      <c r="K23" s="17"/>
      <c r="L23" s="17"/>
      <c r="M23" s="36"/>
      <c r="N23" s="36"/>
      <c r="O23" s="36"/>
      <c r="P23" s="35">
        <v>1</v>
      </c>
      <c r="Q23" s="46">
        <v>34</v>
      </c>
      <c r="R23" s="55"/>
      <c r="S23" s="41">
        <v>1</v>
      </c>
      <c r="T23" s="20"/>
      <c r="U23" s="17"/>
      <c r="V23" s="17"/>
      <c r="W23" s="17"/>
      <c r="X23" t="s" s="13">
        <v>191</v>
      </c>
      <c r="Y23" s="17"/>
      <c r="Z23" s="29">
        <v>1</v>
      </c>
      <c r="AA23" s="17"/>
      <c r="AB23" s="29">
        <v>1</v>
      </c>
      <c r="AC23" s="29">
        <v>1</v>
      </c>
      <c r="AD23" s="17"/>
      <c r="AE23" s="17"/>
      <c r="AF23" s="17"/>
      <c r="AG23" s="17"/>
      <c r="AH23" s="17"/>
      <c r="AI23" s="17"/>
      <c r="AJ23" s="17"/>
      <c r="AK23" s="17"/>
      <c r="AL23" s="17"/>
      <c r="AM23" s="17"/>
      <c r="AN23" s="17"/>
      <c r="AO23" s="17"/>
      <c r="AP23" s="17"/>
      <c r="AQ23" s="17"/>
    </row>
    <row r="24" ht="17.45" customHeight="1">
      <c r="A24" t="s" s="13">
        <v>182</v>
      </c>
      <c r="B24" s="17"/>
      <c r="C24" s="29">
        <v>13</v>
      </c>
      <c r="D24" t="s" s="13">
        <v>127</v>
      </c>
      <c r="E24" t="s" s="13">
        <v>192</v>
      </c>
      <c r="F24" t="s" s="13">
        <v>193</v>
      </c>
      <c r="G24" s="29">
        <v>1</v>
      </c>
      <c r="H24" s="17"/>
      <c r="I24" s="17"/>
      <c r="J24" s="17"/>
      <c r="K24" s="17"/>
      <c r="L24" s="17"/>
      <c r="M24" s="36"/>
      <c r="N24" s="36"/>
      <c r="O24" s="36"/>
      <c r="P24" s="35">
        <v>1</v>
      </c>
      <c r="Q24" s="35">
        <v>21</v>
      </c>
      <c r="R24" s="55"/>
      <c r="S24" s="41">
        <v>1</v>
      </c>
      <c r="T24" s="20"/>
      <c r="U24" s="17"/>
      <c r="V24" s="17"/>
      <c r="W24" s="17"/>
      <c r="X24" t="s" s="13">
        <v>194</v>
      </c>
      <c r="Y24" s="17"/>
      <c r="Z24" s="29">
        <v>1</v>
      </c>
      <c r="AA24" s="17"/>
      <c r="AB24" s="29">
        <v>1</v>
      </c>
      <c r="AC24" s="17"/>
      <c r="AD24" s="29">
        <v>1</v>
      </c>
      <c r="AE24" t="s" s="13">
        <v>166</v>
      </c>
      <c r="AF24" s="17"/>
      <c r="AG24" s="17"/>
      <c r="AH24" s="17"/>
      <c r="AI24" s="17"/>
      <c r="AJ24" s="17"/>
      <c r="AK24" s="17"/>
      <c r="AL24" s="17"/>
      <c r="AM24" s="17"/>
      <c r="AN24" s="17"/>
      <c r="AO24" s="17"/>
      <c r="AP24" s="17"/>
      <c r="AQ24" s="17"/>
    </row>
    <row r="25" ht="17.45" customHeight="1">
      <c r="A25" t="s" s="13">
        <v>182</v>
      </c>
      <c r="B25" s="17"/>
      <c r="C25" s="29">
        <v>13</v>
      </c>
      <c r="D25" t="s" s="13">
        <v>127</v>
      </c>
      <c r="E25" t="s" s="13">
        <v>195</v>
      </c>
      <c r="F25" t="s" s="13">
        <v>196</v>
      </c>
      <c r="G25" s="29">
        <v>1</v>
      </c>
      <c r="H25" s="17"/>
      <c r="I25" s="17"/>
      <c r="J25" s="17"/>
      <c r="K25" s="63"/>
      <c r="L25" s="17"/>
      <c r="M25" s="36"/>
      <c r="N25" s="36"/>
      <c r="O25" s="36"/>
      <c r="P25" s="35">
        <v>1</v>
      </c>
      <c r="Q25" s="35">
        <v>24</v>
      </c>
      <c r="R25" s="55"/>
      <c r="S25" s="41">
        <v>1</v>
      </c>
      <c r="T25" s="64"/>
      <c r="U25" s="17"/>
      <c r="V25" s="17"/>
      <c r="W25" s="17"/>
      <c r="X25" t="s" s="13">
        <v>197</v>
      </c>
      <c r="Y25" s="17"/>
      <c r="Z25" s="29">
        <v>1</v>
      </c>
      <c r="AA25" s="17"/>
      <c r="AB25" s="29">
        <v>1</v>
      </c>
      <c r="AC25" s="17"/>
      <c r="AD25" s="29">
        <v>1</v>
      </c>
      <c r="AE25" t="s" s="13">
        <v>187</v>
      </c>
      <c r="AF25" s="17"/>
      <c r="AG25" s="17"/>
      <c r="AH25" s="17"/>
      <c r="AI25" s="17"/>
      <c r="AJ25" s="17"/>
      <c r="AK25" s="17"/>
      <c r="AL25" s="17"/>
      <c r="AM25" s="17"/>
      <c r="AN25" s="17"/>
      <c r="AO25" s="17"/>
      <c r="AP25" s="17"/>
      <c r="AQ25" s="17"/>
    </row>
    <row r="26" ht="17.45" customHeight="1">
      <c r="A26" t="s" s="13">
        <v>198</v>
      </c>
      <c r="B26" s="17"/>
      <c r="C26" s="29">
        <v>11</v>
      </c>
      <c r="D26" t="s" s="13">
        <v>127</v>
      </c>
      <c r="E26" t="s" s="13">
        <v>199</v>
      </c>
      <c r="F26" t="s" s="13">
        <v>200</v>
      </c>
      <c r="G26" s="29">
        <v>1</v>
      </c>
      <c r="H26" s="29">
        <v>0</v>
      </c>
      <c r="I26" s="29">
        <v>0</v>
      </c>
      <c r="J26" s="37">
        <v>0</v>
      </c>
      <c r="K26" s="49">
        <v>1</v>
      </c>
      <c r="L26" s="50">
        <v>0</v>
      </c>
      <c r="M26" s="35">
        <v>0</v>
      </c>
      <c r="N26" s="35">
        <v>0</v>
      </c>
      <c r="O26" s="36"/>
      <c r="P26" s="35">
        <v>0</v>
      </c>
      <c r="Q26" s="29">
        <v>77</v>
      </c>
      <c r="R26" s="35">
        <v>0</v>
      </c>
      <c r="S26" s="51">
        <v>0</v>
      </c>
      <c r="T26" s="52">
        <v>1</v>
      </c>
      <c r="U26" s="50">
        <v>57</v>
      </c>
      <c r="V26" s="29">
        <v>8</v>
      </c>
      <c r="W26" s="29">
        <v>8</v>
      </c>
      <c r="X26" s="17"/>
      <c r="Y26" s="17"/>
      <c r="Z26" s="17"/>
      <c r="AA26" s="17"/>
      <c r="AB26" s="17"/>
      <c r="AC26" s="17"/>
      <c r="AD26" s="29">
        <v>1</v>
      </c>
      <c r="AE26" t="s" s="13">
        <v>187</v>
      </c>
      <c r="AF26" s="17"/>
      <c r="AG26" s="17"/>
      <c r="AH26" s="17"/>
      <c r="AI26" s="17"/>
      <c r="AJ26" s="17"/>
      <c r="AK26" s="17"/>
      <c r="AL26" s="17"/>
      <c r="AM26" s="17"/>
      <c r="AN26" s="17"/>
      <c r="AO26" s="17"/>
      <c r="AP26" s="17"/>
      <c r="AQ26" s="17"/>
    </row>
    <row r="27" ht="17.45" customHeight="1">
      <c r="A27" t="s" s="13">
        <v>198</v>
      </c>
      <c r="B27" s="17"/>
      <c r="C27" s="29">
        <v>11</v>
      </c>
      <c r="D27" t="s" s="13">
        <v>127</v>
      </c>
      <c r="E27" t="s" s="13">
        <v>199</v>
      </c>
      <c r="F27" t="s" s="13">
        <v>193</v>
      </c>
      <c r="G27" s="29">
        <v>1</v>
      </c>
      <c r="H27" s="17"/>
      <c r="I27" s="17"/>
      <c r="J27" s="17"/>
      <c r="K27" s="31"/>
      <c r="L27" s="17"/>
      <c r="M27" s="35">
        <v>1</v>
      </c>
      <c r="N27" s="36"/>
      <c r="O27" s="36"/>
      <c r="P27" s="36"/>
      <c r="Q27" s="29">
        <v>38</v>
      </c>
      <c r="R27" s="55"/>
      <c r="S27" s="41">
        <v>1</v>
      </c>
      <c r="T27" s="65"/>
      <c r="U27" s="29">
        <v>38</v>
      </c>
      <c r="V27" s="17"/>
      <c r="W27" s="17"/>
      <c r="X27" s="17"/>
      <c r="Y27" s="17"/>
      <c r="Z27" s="17"/>
      <c r="AA27" s="17"/>
      <c r="AB27" s="17"/>
      <c r="AC27" s="29">
        <v>1</v>
      </c>
      <c r="AD27" s="17"/>
      <c r="AE27" s="17"/>
      <c r="AF27" s="17"/>
      <c r="AG27" s="17"/>
      <c r="AH27" s="17"/>
      <c r="AI27" s="17"/>
      <c r="AJ27" s="17"/>
      <c r="AK27" s="17"/>
      <c r="AL27" s="17"/>
      <c r="AM27" s="17"/>
      <c r="AN27" s="17"/>
      <c r="AO27" s="17"/>
      <c r="AP27" s="17"/>
      <c r="AQ27" s="17"/>
    </row>
    <row r="28" ht="17.45" customHeight="1">
      <c r="A28" t="s" s="13">
        <v>198</v>
      </c>
      <c r="B28" s="17"/>
      <c r="C28" s="29">
        <v>11</v>
      </c>
      <c r="D28" t="s" s="13">
        <v>127</v>
      </c>
      <c r="E28" t="s" s="13">
        <v>201</v>
      </c>
      <c r="F28" t="s" s="13">
        <v>202</v>
      </c>
      <c r="G28" s="29">
        <v>1</v>
      </c>
      <c r="H28" s="17"/>
      <c r="I28" s="17"/>
      <c r="J28" s="17"/>
      <c r="K28" s="17"/>
      <c r="L28" s="17"/>
      <c r="M28" s="36"/>
      <c r="N28" s="36"/>
      <c r="O28" s="36"/>
      <c r="P28" s="35">
        <v>1</v>
      </c>
      <c r="Q28" s="35">
        <v>22</v>
      </c>
      <c r="R28" s="66"/>
      <c r="S28" s="41">
        <v>1</v>
      </c>
      <c r="T28" s="20"/>
      <c r="U28" s="17"/>
      <c r="V28" s="17"/>
      <c r="W28" s="17"/>
      <c r="X28" t="s" s="13">
        <v>194</v>
      </c>
      <c r="Y28" s="17"/>
      <c r="Z28" s="29">
        <v>1</v>
      </c>
      <c r="AA28" s="17"/>
      <c r="AB28" s="29">
        <v>1</v>
      </c>
      <c r="AC28" s="29">
        <v>1</v>
      </c>
      <c r="AD28" s="17"/>
      <c r="AE28" s="17"/>
      <c r="AF28" s="17"/>
      <c r="AG28" s="17"/>
      <c r="AH28" s="17"/>
      <c r="AI28" s="17"/>
      <c r="AJ28" s="17"/>
      <c r="AK28" s="17"/>
      <c r="AL28" s="17"/>
      <c r="AM28" s="17"/>
      <c r="AN28" s="17"/>
      <c r="AO28" s="17"/>
      <c r="AP28" s="17"/>
      <c r="AQ28" s="17"/>
    </row>
    <row r="29" ht="17.45" customHeight="1">
      <c r="A29" t="s" s="13">
        <v>198</v>
      </c>
      <c r="B29" s="17"/>
      <c r="C29" s="29">
        <v>11</v>
      </c>
      <c r="D29" t="s" s="13">
        <v>127</v>
      </c>
      <c r="E29" t="s" s="13">
        <v>203</v>
      </c>
      <c r="F29" t="s" s="13">
        <v>204</v>
      </c>
      <c r="G29" s="29">
        <v>1</v>
      </c>
      <c r="H29" s="17"/>
      <c r="I29" s="17"/>
      <c r="J29" s="17"/>
      <c r="K29" s="63"/>
      <c r="L29" s="17"/>
      <c r="M29" s="36"/>
      <c r="N29" s="36"/>
      <c r="O29" s="36"/>
      <c r="P29" s="35">
        <v>1</v>
      </c>
      <c r="Q29" s="43">
        <v>35</v>
      </c>
      <c r="R29" s="38">
        <v>1</v>
      </c>
      <c r="S29" s="67"/>
      <c r="T29" s="17"/>
      <c r="U29" s="35">
        <v>7</v>
      </c>
      <c r="V29" s="35">
        <v>2</v>
      </c>
      <c r="W29" s="35">
        <v>2</v>
      </c>
      <c r="X29" t="s" s="13">
        <v>191</v>
      </c>
      <c r="Y29" s="17"/>
      <c r="Z29" s="29">
        <v>1</v>
      </c>
      <c r="AA29" s="17"/>
      <c r="AB29" s="29">
        <v>1</v>
      </c>
      <c r="AC29" s="17"/>
      <c r="AD29" s="29">
        <v>1</v>
      </c>
      <c r="AE29" t="s" s="13">
        <v>205</v>
      </c>
      <c r="AF29" s="17"/>
      <c r="AG29" s="17"/>
      <c r="AH29" s="17"/>
      <c r="AI29" s="17"/>
      <c r="AJ29" s="17"/>
      <c r="AK29" s="17"/>
      <c r="AL29" s="17"/>
      <c r="AM29" s="17"/>
      <c r="AN29" s="17"/>
      <c r="AO29" s="17"/>
      <c r="AP29" s="17"/>
      <c r="AQ29" s="17"/>
    </row>
    <row r="30" ht="17.45" customHeight="1">
      <c r="A30" t="s" s="13">
        <v>206</v>
      </c>
      <c r="B30" s="17"/>
      <c r="C30" s="29">
        <v>9</v>
      </c>
      <c r="D30" t="s" s="13">
        <v>127</v>
      </c>
      <c r="E30" t="s" s="13">
        <v>207</v>
      </c>
      <c r="F30" t="s" s="13">
        <v>208</v>
      </c>
      <c r="G30" s="29">
        <v>1</v>
      </c>
      <c r="H30" s="29">
        <v>0</v>
      </c>
      <c r="I30" s="29">
        <v>0</v>
      </c>
      <c r="J30" s="37">
        <v>0</v>
      </c>
      <c r="K30" s="49">
        <v>1</v>
      </c>
      <c r="L30" s="50">
        <v>0</v>
      </c>
      <c r="M30" s="35">
        <v>0</v>
      </c>
      <c r="N30" s="35">
        <v>0</v>
      </c>
      <c r="O30" s="36"/>
      <c r="P30" s="35">
        <v>0</v>
      </c>
      <c r="Q30" s="29">
        <v>79</v>
      </c>
      <c r="R30" s="40">
        <v>0</v>
      </c>
      <c r="S30" s="41">
        <v>1</v>
      </c>
      <c r="T30" s="50">
        <v>0</v>
      </c>
      <c r="U30" s="35">
        <v>0</v>
      </c>
      <c r="V30" s="35">
        <v>0</v>
      </c>
      <c r="W30" s="35">
        <v>0</v>
      </c>
      <c r="X30" t="s" s="13">
        <v>171</v>
      </c>
      <c r="Y30" s="17"/>
      <c r="Z30" s="17"/>
      <c r="AA30" s="17"/>
      <c r="AB30" s="17"/>
      <c r="AC30" s="29">
        <v>1</v>
      </c>
      <c r="AD30" s="17"/>
      <c r="AE30" s="17"/>
      <c r="AF30" t="s" s="13">
        <v>209</v>
      </c>
      <c r="AG30" s="17"/>
      <c r="AH30" s="17"/>
      <c r="AI30" s="17"/>
      <c r="AJ30" s="17"/>
      <c r="AK30" s="17"/>
      <c r="AL30" s="17"/>
      <c r="AM30" s="17"/>
      <c r="AN30" s="17"/>
      <c r="AO30" s="17"/>
      <c r="AP30" s="17"/>
      <c r="AQ30" s="17"/>
    </row>
    <row r="31" ht="17.45" customHeight="1">
      <c r="A31" t="s" s="13">
        <v>206</v>
      </c>
      <c r="B31" s="17"/>
      <c r="C31" s="29">
        <v>9</v>
      </c>
      <c r="D31" t="s" s="13">
        <v>127</v>
      </c>
      <c r="E31" t="s" s="13">
        <v>210</v>
      </c>
      <c r="F31" t="s" s="13">
        <v>211</v>
      </c>
      <c r="G31" s="29">
        <v>1</v>
      </c>
      <c r="H31" s="17"/>
      <c r="I31" s="17"/>
      <c r="J31" s="17"/>
      <c r="K31" s="31"/>
      <c r="L31" s="17"/>
      <c r="M31" s="36"/>
      <c r="N31" s="36"/>
      <c r="O31" s="36"/>
      <c r="P31" s="35">
        <v>1</v>
      </c>
      <c r="Q31" s="29">
        <v>44</v>
      </c>
      <c r="R31" s="55"/>
      <c r="S31" s="41">
        <v>1</v>
      </c>
      <c r="T31" s="20"/>
      <c r="U31" s="36"/>
      <c r="V31" s="36"/>
      <c r="W31" s="36"/>
      <c r="X31" t="s" s="13">
        <v>159</v>
      </c>
      <c r="Y31" s="17"/>
      <c r="Z31" s="29">
        <v>1</v>
      </c>
      <c r="AA31" s="17"/>
      <c r="AB31" s="29">
        <v>1</v>
      </c>
      <c r="AC31" s="17"/>
      <c r="AD31" s="29">
        <v>1</v>
      </c>
      <c r="AE31" t="s" s="13">
        <v>166</v>
      </c>
      <c r="AF31" s="17"/>
      <c r="AG31" s="17"/>
      <c r="AH31" s="17"/>
      <c r="AI31" s="17"/>
      <c r="AJ31" s="17"/>
      <c r="AK31" s="17"/>
      <c r="AL31" s="17"/>
      <c r="AM31" s="17"/>
      <c r="AN31" s="17"/>
      <c r="AO31" s="17"/>
      <c r="AP31" s="17"/>
      <c r="AQ31" s="17"/>
    </row>
    <row r="32" ht="17.45" customHeight="1">
      <c r="A32" t="s" s="13">
        <v>206</v>
      </c>
      <c r="B32" s="17"/>
      <c r="C32" s="29">
        <v>9</v>
      </c>
      <c r="D32" t="s" s="13">
        <v>127</v>
      </c>
      <c r="E32" t="s" s="13">
        <v>212</v>
      </c>
      <c r="F32" t="s" s="13">
        <v>213</v>
      </c>
      <c r="G32" s="29">
        <v>1</v>
      </c>
      <c r="H32" s="17"/>
      <c r="I32" s="17"/>
      <c r="J32" s="17"/>
      <c r="K32" s="17"/>
      <c r="L32" s="17"/>
      <c r="M32" s="36"/>
      <c r="N32" s="36"/>
      <c r="O32" s="36"/>
      <c r="P32" s="35">
        <v>1</v>
      </c>
      <c r="Q32" s="29">
        <v>26</v>
      </c>
      <c r="R32" s="55"/>
      <c r="S32" s="41">
        <v>1</v>
      </c>
      <c r="T32" s="20"/>
      <c r="U32" s="36"/>
      <c r="V32" s="36"/>
      <c r="W32" s="36"/>
      <c r="X32" t="s" s="13">
        <v>165</v>
      </c>
      <c r="Y32" s="17"/>
      <c r="Z32" s="29">
        <v>1</v>
      </c>
      <c r="AA32" s="17"/>
      <c r="AB32" s="29">
        <v>1</v>
      </c>
      <c r="AC32" s="17"/>
      <c r="AD32" s="29">
        <v>1</v>
      </c>
      <c r="AE32" t="s" s="13">
        <v>71</v>
      </c>
      <c r="AF32" s="17"/>
      <c r="AG32" s="17"/>
      <c r="AH32" s="17"/>
      <c r="AI32" s="17"/>
      <c r="AJ32" s="17"/>
      <c r="AK32" s="17"/>
      <c r="AL32" s="17"/>
      <c r="AM32" s="17"/>
      <c r="AN32" s="17"/>
      <c r="AO32" s="17"/>
      <c r="AP32" s="17"/>
      <c r="AQ32" s="17"/>
    </row>
    <row r="33" ht="17.45" customHeight="1">
      <c r="A33" t="s" s="13">
        <v>206</v>
      </c>
      <c r="B33" s="17"/>
      <c r="C33" s="29">
        <v>9</v>
      </c>
      <c r="D33" t="s" s="13">
        <v>127</v>
      </c>
      <c r="E33" t="s" s="13">
        <v>214</v>
      </c>
      <c r="F33" t="s" s="13">
        <v>215</v>
      </c>
      <c r="G33" s="29">
        <v>1</v>
      </c>
      <c r="H33" s="17"/>
      <c r="I33" s="17"/>
      <c r="J33" s="17"/>
      <c r="K33" s="17"/>
      <c r="L33" s="17"/>
      <c r="M33" s="36"/>
      <c r="N33" s="36"/>
      <c r="O33" s="36"/>
      <c r="P33" s="35">
        <v>1</v>
      </c>
      <c r="Q33" s="29">
        <v>26</v>
      </c>
      <c r="R33" s="55"/>
      <c r="S33" s="41">
        <v>1</v>
      </c>
      <c r="T33" s="20"/>
      <c r="U33" s="36"/>
      <c r="V33" s="36"/>
      <c r="W33" s="36"/>
      <c r="X33" t="s" s="13">
        <v>162</v>
      </c>
      <c r="Y33" s="17"/>
      <c r="Z33" s="29">
        <v>1</v>
      </c>
      <c r="AA33" s="17"/>
      <c r="AB33" s="29">
        <v>1</v>
      </c>
      <c r="AC33" s="17"/>
      <c r="AD33" s="29">
        <v>1</v>
      </c>
      <c r="AE33" t="s" s="13">
        <v>166</v>
      </c>
      <c r="AF33" s="17"/>
      <c r="AG33" s="17"/>
      <c r="AH33" s="17"/>
      <c r="AI33" s="17"/>
      <c r="AJ33" s="17"/>
      <c r="AK33" s="17"/>
      <c r="AL33" s="17"/>
      <c r="AM33" s="17"/>
      <c r="AN33" s="17"/>
      <c r="AO33" s="17"/>
      <c r="AP33" s="17"/>
      <c r="AQ33" s="17"/>
    </row>
    <row r="34" ht="17" customHeight="1">
      <c r="A34" t="s" s="12">
        <v>216</v>
      </c>
      <c r="B34" s="17"/>
      <c r="C34" t="s" s="13">
        <v>217</v>
      </c>
      <c r="D34" t="s" s="13">
        <v>217</v>
      </c>
      <c r="E34" t="s" s="13">
        <v>217</v>
      </c>
      <c r="F34" t="s" s="13">
        <v>217</v>
      </c>
      <c r="G34" t="s" s="13">
        <v>217</v>
      </c>
      <c r="H34" t="s" s="13">
        <v>217</v>
      </c>
      <c r="I34" t="s" s="13">
        <v>217</v>
      </c>
      <c r="J34" t="s" s="13">
        <v>217</v>
      </c>
      <c r="K34" t="s" s="12">
        <v>217</v>
      </c>
      <c r="L34" t="s" s="13">
        <v>217</v>
      </c>
      <c r="M34" t="s" s="13">
        <v>217</v>
      </c>
      <c r="N34" t="s" s="13">
        <v>217</v>
      </c>
      <c r="O34" s="17"/>
      <c r="P34" t="s" s="13">
        <v>217</v>
      </c>
      <c r="Q34" t="s" s="13">
        <v>217</v>
      </c>
      <c r="R34" t="s" s="13">
        <v>217</v>
      </c>
      <c r="S34" t="s" s="30">
        <v>217</v>
      </c>
      <c r="T34" t="s" s="12">
        <v>217</v>
      </c>
      <c r="U34" t="s" s="13">
        <v>217</v>
      </c>
      <c r="V34" t="s" s="13">
        <v>217</v>
      </c>
      <c r="W34" t="s" s="13">
        <v>217</v>
      </c>
      <c r="X34" t="s" s="13">
        <v>217</v>
      </c>
      <c r="Y34" t="s" s="13">
        <v>217</v>
      </c>
      <c r="Z34" s="17"/>
      <c r="AA34" t="s" s="13">
        <v>217</v>
      </c>
      <c r="AB34" t="s" s="13">
        <v>217</v>
      </c>
      <c r="AC34" t="s" s="13">
        <v>217</v>
      </c>
      <c r="AD34" t="s" s="13">
        <v>217</v>
      </c>
      <c r="AE34" t="s" s="13">
        <v>217</v>
      </c>
      <c r="AF34" s="17"/>
      <c r="AG34" s="17"/>
      <c r="AH34" s="17"/>
      <c r="AI34" s="17"/>
      <c r="AJ34" s="17"/>
      <c r="AK34" s="17"/>
      <c r="AL34" s="17"/>
      <c r="AM34" s="17"/>
      <c r="AN34" s="17"/>
      <c r="AO34" s="17"/>
      <c r="AP34" s="17"/>
      <c r="AQ34" s="17"/>
    </row>
    <row r="35" ht="17.45" customHeight="1">
      <c r="A35" t="s" s="68">
        <v>218</v>
      </c>
      <c r="B35" s="20"/>
      <c r="C35" s="29">
        <v>5</v>
      </c>
      <c r="D35" t="s" s="13">
        <v>127</v>
      </c>
      <c r="E35" t="s" s="13">
        <v>183</v>
      </c>
      <c r="F35" t="s" s="13">
        <v>219</v>
      </c>
      <c r="G35" s="29">
        <v>1</v>
      </c>
      <c r="H35" s="29">
        <v>0</v>
      </c>
      <c r="I35" s="29">
        <v>0</v>
      </c>
      <c r="J35" s="37">
        <v>0</v>
      </c>
      <c r="K35" s="49">
        <v>1</v>
      </c>
      <c r="L35" s="50">
        <v>0</v>
      </c>
      <c r="M35" s="35">
        <v>0</v>
      </c>
      <c r="N35" s="35">
        <v>0</v>
      </c>
      <c r="O35" s="36"/>
      <c r="P35" s="35">
        <v>0</v>
      </c>
      <c r="Q35" s="29">
        <v>79</v>
      </c>
      <c r="R35" s="35">
        <v>0</v>
      </c>
      <c r="S35" s="69">
        <v>0</v>
      </c>
      <c r="T35" s="52">
        <v>1</v>
      </c>
      <c r="U35" s="42">
        <v>0</v>
      </c>
      <c r="V35" s="29">
        <v>4</v>
      </c>
      <c r="W35" s="29">
        <v>2</v>
      </c>
      <c r="X35" s="17"/>
      <c r="Y35" s="17"/>
      <c r="Z35" s="17"/>
      <c r="AA35" s="17"/>
      <c r="AB35" s="17"/>
      <c r="AC35" s="17"/>
      <c r="AD35" s="29">
        <v>1</v>
      </c>
      <c r="AE35" t="s" s="13">
        <v>187</v>
      </c>
      <c r="AF35" s="17"/>
      <c r="AG35" s="17"/>
      <c r="AH35" s="17"/>
      <c r="AI35" s="17"/>
      <c r="AJ35" s="17"/>
      <c r="AK35" s="17"/>
      <c r="AL35" s="17"/>
      <c r="AM35" s="17"/>
      <c r="AN35" s="17"/>
      <c r="AO35" s="17"/>
      <c r="AP35" s="17"/>
      <c r="AQ35" s="17"/>
    </row>
    <row r="36" ht="17.45" customHeight="1">
      <c r="A36" t="s" s="68">
        <v>218</v>
      </c>
      <c r="B36" s="20"/>
      <c r="C36" s="29">
        <v>5</v>
      </c>
      <c r="D36" t="s" s="13">
        <v>127</v>
      </c>
      <c r="E36" t="s" s="13">
        <v>220</v>
      </c>
      <c r="F36" t="s" s="13">
        <v>51</v>
      </c>
      <c r="G36" s="29">
        <v>1</v>
      </c>
      <c r="H36" s="17"/>
      <c r="I36" s="17"/>
      <c r="J36" s="17"/>
      <c r="K36" s="31"/>
      <c r="L36" s="17"/>
      <c r="M36" s="36"/>
      <c r="N36" s="36"/>
      <c r="O36" s="36"/>
      <c r="P36" s="35">
        <v>1</v>
      </c>
      <c r="Q36" s="29">
        <v>53</v>
      </c>
      <c r="R36" s="55"/>
      <c r="S36" s="41">
        <v>1</v>
      </c>
      <c r="T36" s="65"/>
      <c r="U36" s="36"/>
      <c r="V36" s="17"/>
      <c r="W36" s="17"/>
      <c r="X36" t="s" s="13">
        <v>159</v>
      </c>
      <c r="Y36" s="17"/>
      <c r="Z36" s="29">
        <v>1</v>
      </c>
      <c r="AA36" s="17"/>
      <c r="AB36" s="29">
        <v>1</v>
      </c>
      <c r="AC36" s="29">
        <v>1</v>
      </c>
      <c r="AD36" s="17"/>
      <c r="AE36" s="17"/>
      <c r="AF36" s="17"/>
      <c r="AG36" s="17"/>
      <c r="AH36" s="17"/>
      <c r="AI36" s="17"/>
      <c r="AJ36" s="17"/>
      <c r="AK36" s="17"/>
      <c r="AL36" s="17"/>
      <c r="AM36" s="17"/>
      <c r="AN36" s="17"/>
      <c r="AO36" s="17"/>
      <c r="AP36" s="17"/>
      <c r="AQ36" s="17"/>
    </row>
    <row r="37" ht="17.45" customHeight="1">
      <c r="A37" t="s" s="68">
        <v>218</v>
      </c>
      <c r="B37" s="20"/>
      <c r="C37" s="29">
        <v>5</v>
      </c>
      <c r="D37" t="s" s="13">
        <v>127</v>
      </c>
      <c r="E37" t="s" s="13">
        <v>221</v>
      </c>
      <c r="F37" t="s" s="13">
        <v>51</v>
      </c>
      <c r="G37" s="29">
        <v>1</v>
      </c>
      <c r="H37" s="17"/>
      <c r="I37" s="17"/>
      <c r="J37" s="17"/>
      <c r="K37" s="63"/>
      <c r="L37" s="17"/>
      <c r="M37" s="36"/>
      <c r="N37" s="36"/>
      <c r="O37" s="36"/>
      <c r="P37" s="35">
        <v>1</v>
      </c>
      <c r="Q37" s="29">
        <v>25</v>
      </c>
      <c r="R37" s="55"/>
      <c r="S37" s="41">
        <v>1</v>
      </c>
      <c r="T37" s="64"/>
      <c r="U37" s="36"/>
      <c r="V37" s="17"/>
      <c r="W37" s="17"/>
      <c r="X37" t="s" s="13">
        <v>162</v>
      </c>
      <c r="Y37" s="17"/>
      <c r="Z37" s="29">
        <v>1</v>
      </c>
      <c r="AA37" s="17"/>
      <c r="AB37" s="29">
        <v>1</v>
      </c>
      <c r="AC37" s="17"/>
      <c r="AD37" s="29">
        <v>1</v>
      </c>
      <c r="AE37" t="s" s="13">
        <v>166</v>
      </c>
      <c r="AF37" s="17"/>
      <c r="AG37" s="17"/>
      <c r="AH37" s="17"/>
      <c r="AI37" s="17"/>
      <c r="AJ37" s="17"/>
      <c r="AK37" s="17"/>
      <c r="AL37" s="17"/>
      <c r="AM37" s="17"/>
      <c r="AN37" s="17"/>
      <c r="AO37" s="17"/>
      <c r="AP37" s="17"/>
      <c r="AQ37" s="17"/>
    </row>
    <row r="38" ht="17.45" customHeight="1">
      <c r="A38" t="s" s="30">
        <v>222</v>
      </c>
      <c r="B38" s="17"/>
      <c r="C38" s="29">
        <v>3</v>
      </c>
      <c r="D38" t="s" s="13">
        <v>127</v>
      </c>
      <c r="E38" t="s" s="13">
        <v>223</v>
      </c>
      <c r="F38" t="s" s="13">
        <v>224</v>
      </c>
      <c r="G38" s="29">
        <v>1</v>
      </c>
      <c r="H38" s="29">
        <v>0</v>
      </c>
      <c r="I38" s="29">
        <v>0</v>
      </c>
      <c r="J38" s="37">
        <v>0</v>
      </c>
      <c r="K38" s="49">
        <v>1</v>
      </c>
      <c r="L38" s="50">
        <v>0</v>
      </c>
      <c r="M38" s="35">
        <v>0</v>
      </c>
      <c r="N38" s="35">
        <v>0</v>
      </c>
      <c r="O38" s="36"/>
      <c r="P38" s="35">
        <v>0</v>
      </c>
      <c r="Q38" s="29">
        <v>70</v>
      </c>
      <c r="R38" s="35">
        <v>0</v>
      </c>
      <c r="S38" s="51">
        <v>0</v>
      </c>
      <c r="T38" s="52">
        <v>1</v>
      </c>
      <c r="U38" s="42">
        <v>0</v>
      </c>
      <c r="V38" s="29">
        <v>2</v>
      </c>
      <c r="W38" s="29">
        <v>2</v>
      </c>
      <c r="X38" s="17"/>
      <c r="Y38" s="17"/>
      <c r="Z38" s="17"/>
      <c r="AA38" s="17"/>
      <c r="AB38" s="17"/>
      <c r="AC38" s="17"/>
      <c r="AD38" s="29">
        <v>1</v>
      </c>
      <c r="AE38" t="s" s="13">
        <v>225</v>
      </c>
      <c r="AF38" s="17"/>
      <c r="AG38" s="17"/>
      <c r="AH38" s="17"/>
      <c r="AI38" s="17"/>
      <c r="AJ38" s="17"/>
      <c r="AK38" s="17"/>
      <c r="AL38" s="17"/>
      <c r="AM38" s="17"/>
      <c r="AN38" s="17"/>
      <c r="AO38" s="17"/>
      <c r="AP38" s="17"/>
      <c r="AQ38" s="17"/>
    </row>
    <row r="39" ht="17.45" customHeight="1">
      <c r="A39" t="s" s="13">
        <v>222</v>
      </c>
      <c r="B39" s="17"/>
      <c r="C39" s="29">
        <v>3</v>
      </c>
      <c r="D39" t="s" s="13">
        <v>127</v>
      </c>
      <c r="E39" t="s" s="13">
        <v>223</v>
      </c>
      <c r="F39" t="s" s="13">
        <v>226</v>
      </c>
      <c r="G39" s="29">
        <v>1</v>
      </c>
      <c r="H39" s="17"/>
      <c r="I39" s="17"/>
      <c r="J39" s="17"/>
      <c r="K39" s="31"/>
      <c r="L39" s="17"/>
      <c r="M39" s="35">
        <v>1</v>
      </c>
      <c r="N39" s="36"/>
      <c r="O39" s="36"/>
      <c r="P39" s="36"/>
      <c r="Q39" s="29">
        <v>42</v>
      </c>
      <c r="R39" s="55"/>
      <c r="S39" s="41">
        <v>1</v>
      </c>
      <c r="T39" s="65"/>
      <c r="U39" s="36"/>
      <c r="V39" s="17"/>
      <c r="W39" s="17"/>
      <c r="X39" s="17"/>
      <c r="Y39" s="17"/>
      <c r="Z39" s="17"/>
      <c r="AA39" s="17"/>
      <c r="AB39" s="17"/>
      <c r="AC39" s="29">
        <v>1</v>
      </c>
      <c r="AD39" s="17"/>
      <c r="AE39" s="17"/>
      <c r="AF39" s="17"/>
      <c r="AG39" s="17"/>
      <c r="AH39" s="17"/>
      <c r="AI39" s="17"/>
      <c r="AJ39" s="17"/>
      <c r="AK39" s="17"/>
      <c r="AL39" s="17"/>
      <c r="AM39" s="17"/>
      <c r="AN39" s="17"/>
      <c r="AO39" s="17"/>
      <c r="AP39" s="17"/>
      <c r="AQ39" s="17"/>
    </row>
    <row r="40" ht="17.45" customHeight="1">
      <c r="A40" t="s" s="13">
        <v>222</v>
      </c>
      <c r="B40" s="17"/>
      <c r="C40" s="29">
        <v>3</v>
      </c>
      <c r="D40" t="s" s="13">
        <v>127</v>
      </c>
      <c r="E40" t="s" s="13">
        <v>223</v>
      </c>
      <c r="F40" t="s" s="13">
        <v>227</v>
      </c>
      <c r="G40" s="17"/>
      <c r="H40" s="29">
        <v>1</v>
      </c>
      <c r="I40" s="17"/>
      <c r="J40" s="17"/>
      <c r="K40" s="17"/>
      <c r="L40" s="17"/>
      <c r="M40" s="36"/>
      <c r="N40" s="35">
        <v>1</v>
      </c>
      <c r="O40" s="36"/>
      <c r="P40" s="36"/>
      <c r="Q40" s="29">
        <v>40</v>
      </c>
      <c r="R40" s="36"/>
      <c r="S40" s="70"/>
      <c r="T40" s="29">
        <v>1</v>
      </c>
      <c r="U40" s="36"/>
      <c r="V40" s="17"/>
      <c r="W40" s="17"/>
      <c r="X40" t="s" s="13">
        <v>228</v>
      </c>
      <c r="Y40" s="17"/>
      <c r="Z40" s="29">
        <v>1</v>
      </c>
      <c r="AA40" s="29">
        <v>1</v>
      </c>
      <c r="AB40" s="17"/>
      <c r="AC40" s="29">
        <v>1</v>
      </c>
      <c r="AD40" s="17"/>
      <c r="AE40" s="17"/>
      <c r="AF40" s="17"/>
      <c r="AG40" s="17"/>
      <c r="AH40" s="17"/>
      <c r="AI40" s="17"/>
      <c r="AJ40" s="17"/>
      <c r="AK40" s="17"/>
      <c r="AL40" s="17"/>
      <c r="AM40" s="17"/>
      <c r="AN40" s="17"/>
      <c r="AO40" s="17"/>
      <c r="AP40" s="17"/>
      <c r="AQ40" s="17"/>
    </row>
    <row r="41" ht="17.45" customHeight="1">
      <c r="A41" t="s" s="13">
        <v>222</v>
      </c>
      <c r="B41" s="17"/>
      <c r="C41" s="29">
        <v>3</v>
      </c>
      <c r="D41" t="s" s="13">
        <v>127</v>
      </c>
      <c r="E41" t="s" s="13">
        <v>229</v>
      </c>
      <c r="F41" t="s" s="13">
        <v>230</v>
      </c>
      <c r="G41" s="29">
        <v>1</v>
      </c>
      <c r="H41" s="17"/>
      <c r="I41" s="17"/>
      <c r="J41" s="17"/>
      <c r="K41" s="17"/>
      <c r="L41" s="17"/>
      <c r="M41" s="36"/>
      <c r="N41" s="36"/>
      <c r="O41" s="36"/>
      <c r="P41" s="35">
        <v>1</v>
      </c>
      <c r="Q41" s="29">
        <v>30</v>
      </c>
      <c r="R41" s="55"/>
      <c r="S41" s="41">
        <v>1</v>
      </c>
      <c r="T41" s="20"/>
      <c r="U41" s="36"/>
      <c r="V41" s="17"/>
      <c r="W41" s="17"/>
      <c r="X41" t="s" s="13">
        <v>231</v>
      </c>
      <c r="Y41" s="17"/>
      <c r="Z41" s="29">
        <v>1</v>
      </c>
      <c r="AA41" s="17"/>
      <c r="AB41" s="29">
        <v>1</v>
      </c>
      <c r="AC41" s="17"/>
      <c r="AD41" s="29">
        <v>1</v>
      </c>
      <c r="AE41" t="s" s="13">
        <v>232</v>
      </c>
      <c r="AF41" s="17"/>
      <c r="AG41" s="17"/>
      <c r="AH41" s="17"/>
      <c r="AI41" s="17"/>
      <c r="AJ41" s="17"/>
      <c r="AK41" s="17"/>
      <c r="AL41" s="17"/>
      <c r="AM41" s="17"/>
      <c r="AN41" s="17"/>
      <c r="AO41" s="17"/>
      <c r="AP41" s="17"/>
      <c r="AQ41" s="17"/>
    </row>
    <row r="42" ht="17.45" customHeight="1">
      <c r="A42" t="s" s="13">
        <v>222</v>
      </c>
      <c r="B42" s="17"/>
      <c r="C42" s="29">
        <v>3</v>
      </c>
      <c r="D42" t="s" s="13">
        <v>127</v>
      </c>
      <c r="E42" t="s" s="13">
        <v>233</v>
      </c>
      <c r="F42" t="s" s="13">
        <v>234</v>
      </c>
      <c r="G42" s="29">
        <v>1</v>
      </c>
      <c r="H42" s="17"/>
      <c r="I42" s="17"/>
      <c r="J42" s="17"/>
      <c r="K42" s="17"/>
      <c r="L42" s="17"/>
      <c r="M42" s="36"/>
      <c r="N42" s="36"/>
      <c r="O42" s="36"/>
      <c r="P42" s="35">
        <v>1</v>
      </c>
      <c r="Q42" s="29">
        <v>30</v>
      </c>
      <c r="R42" s="55"/>
      <c r="S42" s="41">
        <v>1</v>
      </c>
      <c r="T42" s="20"/>
      <c r="U42" s="36"/>
      <c r="V42" s="17"/>
      <c r="W42" s="17"/>
      <c r="X42" t="s" s="13">
        <v>231</v>
      </c>
      <c r="Y42" s="17"/>
      <c r="Z42" s="29">
        <v>1</v>
      </c>
      <c r="AA42" s="17"/>
      <c r="AB42" s="29">
        <v>1</v>
      </c>
      <c r="AC42" s="29">
        <v>1</v>
      </c>
      <c r="AD42" s="17"/>
      <c r="AE42" s="17"/>
      <c r="AF42" s="17"/>
      <c r="AG42" s="17"/>
      <c r="AH42" s="17"/>
      <c r="AI42" s="17"/>
      <c r="AJ42" s="17"/>
      <c r="AK42" s="17"/>
      <c r="AL42" s="17"/>
      <c r="AM42" s="17"/>
      <c r="AN42" s="17"/>
      <c r="AO42" s="17"/>
      <c r="AP42" s="17"/>
      <c r="AQ42" s="17"/>
    </row>
    <row r="43" ht="68" customHeight="1">
      <c r="A43" t="s" s="13">
        <v>235</v>
      </c>
      <c r="B43" t="s" s="71">
        <v>236</v>
      </c>
      <c r="C43" s="29">
        <v>1</v>
      </c>
      <c r="D43" t="s" s="13">
        <v>127</v>
      </c>
      <c r="E43" t="s" s="13">
        <v>237</v>
      </c>
      <c r="F43" t="s" s="13">
        <v>238</v>
      </c>
      <c r="G43" s="17"/>
      <c r="H43" s="29">
        <v>1</v>
      </c>
      <c r="I43" s="17"/>
      <c r="J43" s="17"/>
      <c r="K43" s="29">
        <v>1</v>
      </c>
      <c r="L43" s="17"/>
      <c r="M43" s="36"/>
      <c r="N43" s="36"/>
      <c r="O43" s="36"/>
      <c r="P43" s="36"/>
      <c r="Q43" s="29">
        <v>49</v>
      </c>
      <c r="R43" s="45">
        <v>1</v>
      </c>
      <c r="S43" s="58"/>
      <c r="T43" s="17"/>
      <c r="U43" s="36"/>
      <c r="V43" s="17"/>
      <c r="W43" s="17"/>
      <c r="X43" t="s" s="13">
        <v>239</v>
      </c>
      <c r="Y43" s="17"/>
      <c r="Z43" s="29">
        <v>1</v>
      </c>
      <c r="AA43" s="17"/>
      <c r="AB43" s="29">
        <v>1</v>
      </c>
      <c r="AC43" s="17"/>
      <c r="AD43" s="29">
        <v>1</v>
      </c>
      <c r="AE43" t="s" s="13">
        <v>240</v>
      </c>
      <c r="AF43" s="17"/>
      <c r="AG43" s="17"/>
      <c r="AH43" s="17"/>
      <c r="AI43" s="17"/>
      <c r="AJ43" s="17"/>
      <c r="AK43" s="17"/>
      <c r="AL43" s="17"/>
      <c r="AM43" s="17"/>
      <c r="AN43" s="17"/>
      <c r="AO43" s="17"/>
      <c r="AP43" s="17"/>
      <c r="AQ43" s="17"/>
    </row>
    <row r="44" ht="17.45" customHeight="1">
      <c r="A44" t="s" s="13">
        <v>235</v>
      </c>
      <c r="B44" s="17"/>
      <c r="C44" s="29">
        <v>1</v>
      </c>
      <c r="D44" t="s" s="13">
        <v>127</v>
      </c>
      <c r="E44" t="s" s="13">
        <v>237</v>
      </c>
      <c r="F44" t="s" s="13">
        <v>241</v>
      </c>
      <c r="G44" s="29">
        <v>1</v>
      </c>
      <c r="H44" s="29">
        <v>0</v>
      </c>
      <c r="I44" s="29">
        <v>0</v>
      </c>
      <c r="J44" s="29">
        <v>0</v>
      </c>
      <c r="K44" s="29">
        <v>0</v>
      </c>
      <c r="L44" s="29">
        <v>1</v>
      </c>
      <c r="M44" s="35">
        <v>0</v>
      </c>
      <c r="N44" s="35">
        <v>0</v>
      </c>
      <c r="O44" s="36"/>
      <c r="P44" s="35">
        <v>1</v>
      </c>
      <c r="Q44" s="37">
        <v>48</v>
      </c>
      <c r="R44" s="38">
        <v>1</v>
      </c>
      <c r="S44" s="39">
        <v>0</v>
      </c>
      <c r="T44" s="29">
        <v>0</v>
      </c>
      <c r="U44" s="29">
        <v>19</v>
      </c>
      <c r="V44" s="29">
        <v>2</v>
      </c>
      <c r="W44" s="29">
        <v>2</v>
      </c>
      <c r="X44" t="s" s="13">
        <v>242</v>
      </c>
      <c r="Y44" s="17"/>
      <c r="Z44" s="29">
        <v>1</v>
      </c>
      <c r="AA44" s="17"/>
      <c r="AB44" s="29">
        <v>1</v>
      </c>
      <c r="AC44" s="17"/>
      <c r="AD44" s="29">
        <v>1</v>
      </c>
      <c r="AE44" t="s" s="13">
        <v>72</v>
      </c>
      <c r="AF44" s="17"/>
      <c r="AG44" s="17"/>
      <c r="AH44" s="17"/>
      <c r="AI44" s="17"/>
      <c r="AJ44" s="17"/>
      <c r="AK44" s="17"/>
      <c r="AL44" s="17"/>
      <c r="AM44" s="17"/>
      <c r="AN44" s="17"/>
      <c r="AO44" s="17"/>
      <c r="AP44" s="17"/>
      <c r="AQ44" s="17"/>
    </row>
    <row r="45" ht="17.45" customHeight="1">
      <c r="A45" t="s" s="13">
        <v>235</v>
      </c>
      <c r="B45" s="17"/>
      <c r="C45" s="29">
        <v>1</v>
      </c>
      <c r="D45" t="s" s="13">
        <v>127</v>
      </c>
      <c r="E45" t="s" s="13">
        <v>237</v>
      </c>
      <c r="F45" t="s" s="13">
        <v>243</v>
      </c>
      <c r="G45" s="29">
        <v>1</v>
      </c>
      <c r="H45" s="17"/>
      <c r="I45" s="17"/>
      <c r="J45" s="17"/>
      <c r="K45" s="17"/>
      <c r="L45" s="17"/>
      <c r="M45" s="35">
        <v>1</v>
      </c>
      <c r="N45" s="36"/>
      <c r="O45" s="36"/>
      <c r="P45" s="36"/>
      <c r="Q45" s="48">
        <v>17</v>
      </c>
      <c r="R45" s="72"/>
      <c r="S45" s="41">
        <v>1</v>
      </c>
      <c r="T45" s="20"/>
      <c r="U45" s="17"/>
      <c r="V45" s="17"/>
      <c r="W45" s="17"/>
      <c r="X45" t="s" s="13">
        <v>244</v>
      </c>
      <c r="Y45" s="17"/>
      <c r="Z45" s="29">
        <v>1</v>
      </c>
      <c r="AA45" s="17"/>
      <c r="AB45" s="29">
        <v>1</v>
      </c>
      <c r="AC45" s="29">
        <v>1</v>
      </c>
      <c r="AD45" s="17"/>
      <c r="AE45" s="17"/>
      <c r="AF45" s="17"/>
      <c r="AG45" s="17"/>
      <c r="AH45" s="17"/>
      <c r="AI45" s="17"/>
      <c r="AJ45" s="17"/>
      <c r="AK45" s="17"/>
      <c r="AL45" s="17"/>
      <c r="AM45" s="17"/>
      <c r="AN45" s="17"/>
      <c r="AO45" s="17"/>
      <c r="AP45" s="17"/>
      <c r="AQ45" s="17"/>
    </row>
    <row r="46" ht="17.45" customHeight="1">
      <c r="A46" t="s" s="13">
        <v>235</v>
      </c>
      <c r="B46" s="17"/>
      <c r="C46" s="29">
        <v>1</v>
      </c>
      <c r="D46" t="s" s="13">
        <v>127</v>
      </c>
      <c r="E46" t="s" s="13">
        <v>237</v>
      </c>
      <c r="F46" t="s" s="13">
        <v>245</v>
      </c>
      <c r="G46" s="17"/>
      <c r="H46" s="17"/>
      <c r="I46" s="29">
        <v>1</v>
      </c>
      <c r="J46" s="17"/>
      <c r="K46" s="17"/>
      <c r="L46" s="17"/>
      <c r="M46" s="35">
        <v>1</v>
      </c>
      <c r="N46" s="36"/>
      <c r="O46" s="36"/>
      <c r="P46" s="55"/>
      <c r="Q46" s="73">
        <v>8</v>
      </c>
      <c r="R46" s="57"/>
      <c r="S46" s="70"/>
      <c r="T46" s="17"/>
      <c r="U46" s="17"/>
      <c r="V46" s="17"/>
      <c r="W46" s="17"/>
      <c r="X46" t="s" s="13">
        <v>246</v>
      </c>
      <c r="Y46" s="17"/>
      <c r="Z46" s="17"/>
      <c r="AA46" s="17"/>
      <c r="AB46" s="17"/>
      <c r="AC46" s="29">
        <v>1</v>
      </c>
      <c r="AD46" s="17"/>
      <c r="AE46" s="17"/>
      <c r="AF46" s="17"/>
      <c r="AG46" s="17"/>
      <c r="AH46" s="17"/>
      <c r="AI46" s="17"/>
      <c r="AJ46" s="17"/>
      <c r="AK46" s="17"/>
      <c r="AL46" s="17"/>
      <c r="AM46" s="17"/>
      <c r="AN46" s="17"/>
      <c r="AO46" s="17"/>
      <c r="AP46" s="17"/>
      <c r="AQ46" s="17"/>
    </row>
    <row r="47" ht="17.45" customHeight="1">
      <c r="A47" t="s" s="13">
        <v>235</v>
      </c>
      <c r="B47" s="17"/>
      <c r="C47" s="29">
        <v>1</v>
      </c>
      <c r="D47" t="s" s="13">
        <v>127</v>
      </c>
      <c r="E47" t="s" s="13">
        <v>247</v>
      </c>
      <c r="F47" t="s" s="13">
        <v>248</v>
      </c>
      <c r="G47" s="29">
        <v>1</v>
      </c>
      <c r="H47" s="17"/>
      <c r="I47" s="17"/>
      <c r="J47" s="17"/>
      <c r="K47" s="17"/>
      <c r="L47" s="17"/>
      <c r="M47" s="36"/>
      <c r="N47" s="36"/>
      <c r="O47" s="36"/>
      <c r="P47" s="35">
        <v>1</v>
      </c>
      <c r="Q47" s="53">
        <v>18</v>
      </c>
      <c r="R47" s="55"/>
      <c r="S47" s="41">
        <v>1</v>
      </c>
      <c r="T47" s="20"/>
      <c r="U47" s="17"/>
      <c r="V47" s="17"/>
      <c r="W47" s="17"/>
      <c r="X47" t="s" s="13">
        <v>135</v>
      </c>
      <c r="Y47" s="17"/>
      <c r="Z47" s="29">
        <v>1</v>
      </c>
      <c r="AA47" s="17"/>
      <c r="AB47" s="29">
        <v>1</v>
      </c>
      <c r="AC47" s="29">
        <v>1</v>
      </c>
      <c r="AD47" s="17"/>
      <c r="AE47" s="17"/>
      <c r="AF47" s="17"/>
      <c r="AG47" s="17"/>
      <c r="AH47" s="17"/>
      <c r="AI47" s="17"/>
      <c r="AJ47" s="17"/>
      <c r="AK47" s="17"/>
      <c r="AL47" s="17"/>
      <c r="AM47" s="17"/>
      <c r="AN47" s="17"/>
      <c r="AO47" s="17"/>
      <c r="AP47" s="17"/>
      <c r="AQ47" s="17"/>
    </row>
    <row r="48" ht="17.45" customHeight="1">
      <c r="A48" t="s" s="13">
        <v>249</v>
      </c>
      <c r="B48" s="17"/>
      <c r="C48" s="29">
        <v>10</v>
      </c>
      <c r="D48" t="s" s="13">
        <v>168</v>
      </c>
      <c r="E48" t="s" s="13">
        <v>250</v>
      </c>
      <c r="F48" t="s" s="13">
        <v>251</v>
      </c>
      <c r="G48" s="17"/>
      <c r="H48" s="29">
        <v>1</v>
      </c>
      <c r="I48" s="17"/>
      <c r="J48" s="17"/>
      <c r="K48" s="29">
        <v>1</v>
      </c>
      <c r="L48" s="17"/>
      <c r="M48" s="36"/>
      <c r="N48" s="36"/>
      <c r="O48" s="36"/>
      <c r="P48" s="36"/>
      <c r="Q48" s="29">
        <v>75</v>
      </c>
      <c r="R48" s="36"/>
      <c r="S48" s="70"/>
      <c r="T48" s="29">
        <v>1</v>
      </c>
      <c r="U48" s="17"/>
      <c r="V48" s="17"/>
      <c r="W48" s="17"/>
      <c r="X48" t="s" s="13">
        <v>252</v>
      </c>
      <c r="Y48" s="17"/>
      <c r="Z48" s="29">
        <v>1</v>
      </c>
      <c r="AA48" s="29">
        <v>1</v>
      </c>
      <c r="AB48" s="17"/>
      <c r="AC48" s="29">
        <v>1</v>
      </c>
      <c r="AD48" s="17"/>
      <c r="AE48" s="17"/>
      <c r="AF48" s="17"/>
      <c r="AG48" s="17"/>
      <c r="AH48" s="17"/>
      <c r="AI48" s="17"/>
      <c r="AJ48" s="17"/>
      <c r="AK48" s="17"/>
      <c r="AL48" s="17"/>
      <c r="AM48" s="17"/>
      <c r="AN48" s="17"/>
      <c r="AO48" s="17"/>
      <c r="AP48" s="17"/>
      <c r="AQ48" s="17"/>
    </row>
    <row r="49" ht="17.45" customHeight="1">
      <c r="A49" t="s" s="13">
        <v>249</v>
      </c>
      <c r="B49" s="17"/>
      <c r="C49" s="29">
        <v>10</v>
      </c>
      <c r="D49" t="s" s="13">
        <v>127</v>
      </c>
      <c r="E49" t="s" s="13">
        <v>250</v>
      </c>
      <c r="F49" t="s" s="13">
        <v>253</v>
      </c>
      <c r="G49" s="29">
        <v>1</v>
      </c>
      <c r="H49" s="29">
        <v>0</v>
      </c>
      <c r="I49" s="29">
        <v>0</v>
      </c>
      <c r="J49" s="29">
        <v>0</v>
      </c>
      <c r="K49" s="29">
        <v>0</v>
      </c>
      <c r="L49" s="29">
        <v>0</v>
      </c>
      <c r="M49" s="29">
        <v>1</v>
      </c>
      <c r="N49" s="35">
        <v>0</v>
      </c>
      <c r="O49" s="36"/>
      <c r="P49" s="35">
        <v>0</v>
      </c>
      <c r="Q49" s="29">
        <v>53</v>
      </c>
      <c r="R49" s="43">
        <v>0</v>
      </c>
      <c r="S49" s="41">
        <v>1</v>
      </c>
      <c r="T49" s="50">
        <v>0</v>
      </c>
      <c r="U49" s="35">
        <v>0</v>
      </c>
      <c r="V49" s="29">
        <v>0</v>
      </c>
      <c r="W49" s="29">
        <v>0</v>
      </c>
      <c r="X49" s="17"/>
      <c r="Y49" s="17"/>
      <c r="Z49" s="17"/>
      <c r="AA49" s="17"/>
      <c r="AB49" s="17"/>
      <c r="AC49" s="29">
        <v>1</v>
      </c>
      <c r="AD49" s="17"/>
      <c r="AE49" s="17"/>
      <c r="AF49" s="17"/>
      <c r="AG49" s="17"/>
      <c r="AH49" s="17"/>
      <c r="AI49" s="17"/>
      <c r="AJ49" s="17"/>
      <c r="AK49" s="17"/>
      <c r="AL49" s="17"/>
      <c r="AM49" s="17"/>
      <c r="AN49" s="17"/>
      <c r="AO49" s="17"/>
      <c r="AP49" s="17"/>
      <c r="AQ49" s="17"/>
    </row>
    <row r="50" ht="17.45" customHeight="1">
      <c r="A50" t="s" s="13">
        <v>249</v>
      </c>
      <c r="B50" s="17"/>
      <c r="C50" s="29">
        <v>10</v>
      </c>
      <c r="D50" t="s" s="13">
        <v>168</v>
      </c>
      <c r="E50" t="s" s="13">
        <v>250</v>
      </c>
      <c r="F50" t="s" s="13">
        <v>170</v>
      </c>
      <c r="G50" s="29">
        <v>1</v>
      </c>
      <c r="H50" s="17"/>
      <c r="I50" s="17"/>
      <c r="J50" s="17"/>
      <c r="K50" s="17"/>
      <c r="L50" s="17"/>
      <c r="M50" s="35">
        <v>1</v>
      </c>
      <c r="N50" s="36"/>
      <c r="O50" s="36"/>
      <c r="P50" s="36"/>
      <c r="Q50" s="29">
        <v>39</v>
      </c>
      <c r="R50" s="55"/>
      <c r="S50" s="41">
        <v>1</v>
      </c>
      <c r="T50" s="20"/>
      <c r="U50" s="36"/>
      <c r="V50" s="17"/>
      <c r="W50" s="17"/>
      <c r="X50" s="17"/>
      <c r="Y50" s="17"/>
      <c r="Z50" s="17"/>
      <c r="AA50" s="17"/>
      <c r="AB50" s="17"/>
      <c r="AC50" s="29">
        <v>1</v>
      </c>
      <c r="AD50" s="17"/>
      <c r="AE50" s="17"/>
      <c r="AF50" s="17"/>
      <c r="AG50" s="17"/>
      <c r="AH50" s="17"/>
      <c r="AI50" s="17"/>
      <c r="AJ50" s="17"/>
      <c r="AK50" s="17"/>
      <c r="AL50" s="17"/>
      <c r="AM50" s="17"/>
      <c r="AN50" s="17"/>
      <c r="AO50" s="17"/>
      <c r="AP50" s="17"/>
      <c r="AQ50" s="17"/>
    </row>
    <row r="51" ht="17" customHeight="1">
      <c r="A51" t="s" s="13">
        <v>249</v>
      </c>
      <c r="B51" s="17"/>
      <c r="C51" s="29">
        <v>10</v>
      </c>
      <c r="D51" t="s" s="13">
        <v>168</v>
      </c>
      <c r="E51" t="s" s="13">
        <v>254</v>
      </c>
      <c r="F51" t="s" s="13">
        <v>255</v>
      </c>
      <c r="G51" s="17"/>
      <c r="H51" s="29">
        <v>1</v>
      </c>
      <c r="I51" s="17"/>
      <c r="J51" s="17"/>
      <c r="K51" s="17"/>
      <c r="L51" s="17"/>
      <c r="M51" s="17"/>
      <c r="N51" s="36"/>
      <c r="O51" t="s" s="47">
        <v>256</v>
      </c>
      <c r="P51" s="36"/>
      <c r="Q51" s="29">
        <v>22</v>
      </c>
      <c r="R51" s="36"/>
      <c r="S51" s="74">
        <v>1</v>
      </c>
      <c r="T51" s="17"/>
      <c r="U51" s="36"/>
      <c r="V51" s="17"/>
      <c r="W51" s="17"/>
      <c r="X51" t="s" s="13">
        <v>252</v>
      </c>
      <c r="Y51" s="17"/>
      <c r="Z51" s="29">
        <v>1</v>
      </c>
      <c r="AA51" s="17"/>
      <c r="AB51" s="29">
        <v>1</v>
      </c>
      <c r="AC51" s="17"/>
      <c r="AD51" s="29">
        <v>1</v>
      </c>
      <c r="AE51" t="s" s="13">
        <v>257</v>
      </c>
      <c r="AF51" s="17"/>
      <c r="AG51" s="17"/>
      <c r="AH51" s="17"/>
      <c r="AI51" s="17"/>
      <c r="AJ51" s="17"/>
      <c r="AK51" s="17"/>
      <c r="AL51" s="17"/>
      <c r="AM51" s="17"/>
      <c r="AN51" s="17"/>
      <c r="AO51" s="17"/>
      <c r="AP51" s="17"/>
      <c r="AQ51" s="17"/>
    </row>
    <row r="52" ht="34" customHeight="1">
      <c r="A52" t="s" s="13">
        <v>249</v>
      </c>
      <c r="B52" s="17"/>
      <c r="C52" s="29">
        <v>10</v>
      </c>
      <c r="D52" t="s" s="13">
        <v>168</v>
      </c>
      <c r="E52" t="s" s="13">
        <v>254</v>
      </c>
      <c r="F52" t="s" s="13">
        <v>258</v>
      </c>
      <c r="G52" s="29">
        <v>1</v>
      </c>
      <c r="H52" s="17"/>
      <c r="I52" s="17"/>
      <c r="J52" s="17"/>
      <c r="K52" s="17"/>
      <c r="L52" s="17"/>
      <c r="M52" s="17"/>
      <c r="N52" s="36"/>
      <c r="O52" t="s" s="47">
        <v>259</v>
      </c>
      <c r="P52" s="36"/>
      <c r="Q52" s="29">
        <v>19</v>
      </c>
      <c r="R52" s="55"/>
      <c r="S52" s="41">
        <v>1</v>
      </c>
      <c r="T52" s="64"/>
      <c r="U52" s="36"/>
      <c r="V52" s="17"/>
      <c r="W52" s="17"/>
      <c r="X52" s="17"/>
      <c r="Y52" s="17"/>
      <c r="Z52" s="17"/>
      <c r="AA52" s="17"/>
      <c r="AB52" s="17"/>
      <c r="AC52" s="17"/>
      <c r="AD52" s="29">
        <v>1</v>
      </c>
      <c r="AE52" t="s" s="13">
        <v>257</v>
      </c>
      <c r="AF52" s="17"/>
      <c r="AG52" s="17"/>
      <c r="AH52" s="17"/>
      <c r="AI52" s="17"/>
      <c r="AJ52" s="17"/>
      <c r="AK52" s="17"/>
      <c r="AL52" s="17"/>
      <c r="AM52" s="17"/>
      <c r="AN52" s="17"/>
      <c r="AO52" s="17"/>
      <c r="AP52" s="17"/>
      <c r="AQ52" s="17"/>
    </row>
    <row r="53" ht="17.45" customHeight="1">
      <c r="A53" t="s" s="13">
        <v>249</v>
      </c>
      <c r="B53" s="17"/>
      <c r="C53" s="29">
        <v>10</v>
      </c>
      <c r="D53" t="s" s="13">
        <v>168</v>
      </c>
      <c r="E53" t="s" s="13">
        <v>159</v>
      </c>
      <c r="F53" t="s" s="13">
        <v>260</v>
      </c>
      <c r="G53" s="29">
        <v>1</v>
      </c>
      <c r="H53" s="17"/>
      <c r="I53" s="17"/>
      <c r="J53" s="17"/>
      <c r="K53" s="17"/>
      <c r="L53" s="17"/>
      <c r="M53" s="17"/>
      <c r="N53" s="36"/>
      <c r="O53" s="36"/>
      <c r="P53" s="35">
        <v>1</v>
      </c>
      <c r="Q53" s="29">
        <v>50</v>
      </c>
      <c r="R53" s="36"/>
      <c r="S53" s="75"/>
      <c r="T53" s="52">
        <v>1</v>
      </c>
      <c r="U53" s="57"/>
      <c r="V53" s="17"/>
      <c r="W53" s="17"/>
      <c r="X53" t="s" s="13">
        <v>191</v>
      </c>
      <c r="Y53" s="17"/>
      <c r="Z53" s="29">
        <v>1</v>
      </c>
      <c r="AA53" s="17"/>
      <c r="AB53" s="29">
        <v>1</v>
      </c>
      <c r="AC53" s="17"/>
      <c r="AD53" s="29">
        <v>1</v>
      </c>
      <c r="AE53" t="s" s="13">
        <v>240</v>
      </c>
      <c r="AF53" s="17"/>
      <c r="AG53" s="17"/>
      <c r="AH53" s="17"/>
      <c r="AI53" s="17"/>
      <c r="AJ53" s="17"/>
      <c r="AK53" s="17"/>
      <c r="AL53" s="17"/>
      <c r="AM53" s="17"/>
      <c r="AN53" s="17"/>
      <c r="AO53" s="17"/>
      <c r="AP53" s="17"/>
      <c r="AQ53" s="17"/>
    </row>
    <row r="54" ht="17.45" customHeight="1">
      <c r="A54" t="s" s="13">
        <v>249</v>
      </c>
      <c r="B54" s="17"/>
      <c r="C54" s="29">
        <v>10</v>
      </c>
      <c r="D54" t="s" s="13">
        <v>168</v>
      </c>
      <c r="E54" t="s" s="13">
        <v>261</v>
      </c>
      <c r="F54" t="s" s="13">
        <v>154</v>
      </c>
      <c r="G54" s="29">
        <v>1</v>
      </c>
      <c r="H54" s="17"/>
      <c r="I54" s="17"/>
      <c r="J54" s="17"/>
      <c r="K54" s="17"/>
      <c r="L54" s="17"/>
      <c r="M54" s="17"/>
      <c r="N54" s="36"/>
      <c r="O54" s="36"/>
      <c r="P54" s="35">
        <v>1</v>
      </c>
      <c r="Q54" s="29">
        <v>56</v>
      </c>
      <c r="R54" s="36"/>
      <c r="S54" s="76"/>
      <c r="T54" s="52">
        <v>1</v>
      </c>
      <c r="U54" s="57"/>
      <c r="V54" s="17"/>
      <c r="W54" s="17"/>
      <c r="X54" t="s" s="13">
        <v>262</v>
      </c>
      <c r="Y54" s="17"/>
      <c r="Z54" s="29">
        <v>1</v>
      </c>
      <c r="AA54" s="17"/>
      <c r="AB54" s="29">
        <v>1</v>
      </c>
      <c r="AC54" s="17"/>
      <c r="AD54" s="29">
        <v>1</v>
      </c>
      <c r="AE54" t="s" s="13">
        <v>240</v>
      </c>
      <c r="AF54" s="17"/>
      <c r="AG54" s="17"/>
      <c r="AH54" s="17"/>
      <c r="AI54" s="17"/>
      <c r="AJ54" s="17"/>
      <c r="AK54" s="17"/>
      <c r="AL54" s="17"/>
      <c r="AM54" s="17"/>
      <c r="AN54" s="17"/>
      <c r="AO54" s="17"/>
      <c r="AP54" s="17"/>
      <c r="AQ54" s="17"/>
    </row>
    <row r="55" ht="17.45" customHeight="1">
      <c r="A55" t="s" s="13">
        <v>263</v>
      </c>
      <c r="B55" s="17"/>
      <c r="C55" s="29">
        <v>12</v>
      </c>
      <c r="D55" t="s" s="13">
        <v>168</v>
      </c>
      <c r="E55" t="s" s="13">
        <v>264</v>
      </c>
      <c r="F55" t="s" s="13">
        <v>68</v>
      </c>
      <c r="G55" s="17"/>
      <c r="H55" s="29">
        <v>1</v>
      </c>
      <c r="I55" s="17"/>
      <c r="J55" s="17"/>
      <c r="K55" s="29">
        <v>1</v>
      </c>
      <c r="L55" s="17"/>
      <c r="M55" s="17"/>
      <c r="N55" s="36"/>
      <c r="O55" s="36"/>
      <c r="P55" s="36"/>
      <c r="Q55" s="29">
        <v>61</v>
      </c>
      <c r="R55" s="45">
        <v>1</v>
      </c>
      <c r="S55" s="17"/>
      <c r="T55" s="31"/>
      <c r="U55" s="36"/>
      <c r="V55" s="17"/>
      <c r="W55" s="17"/>
      <c r="X55" t="s" s="13">
        <v>265</v>
      </c>
      <c r="Y55" s="17"/>
      <c r="Z55" s="29">
        <v>1</v>
      </c>
      <c r="AA55" s="29">
        <v>1</v>
      </c>
      <c r="AB55" s="17"/>
      <c r="AC55" s="17"/>
      <c r="AD55" s="29">
        <v>1</v>
      </c>
      <c r="AE55" t="s" s="13">
        <v>187</v>
      </c>
      <c r="AF55" s="17"/>
      <c r="AG55" s="17"/>
      <c r="AH55" s="17"/>
      <c r="AI55" s="17"/>
      <c r="AJ55" s="17"/>
      <c r="AK55" s="17"/>
      <c r="AL55" s="17"/>
      <c r="AM55" s="17"/>
      <c r="AN55" s="17"/>
      <c r="AO55" s="17"/>
      <c r="AP55" s="17"/>
      <c r="AQ55" s="17"/>
    </row>
    <row r="56" ht="17.45" customHeight="1">
      <c r="A56" t="s" s="13">
        <v>263</v>
      </c>
      <c r="B56" s="17"/>
      <c r="C56" s="29">
        <v>12</v>
      </c>
      <c r="D56" t="s" s="13">
        <v>127</v>
      </c>
      <c r="E56" t="s" s="13">
        <v>264</v>
      </c>
      <c r="F56" t="s" s="13">
        <v>266</v>
      </c>
      <c r="G56" s="29">
        <v>1</v>
      </c>
      <c r="H56" s="29">
        <v>0</v>
      </c>
      <c r="I56" s="29">
        <v>0</v>
      </c>
      <c r="J56" s="29">
        <v>0</v>
      </c>
      <c r="K56" s="29">
        <v>0</v>
      </c>
      <c r="L56" s="29">
        <v>1</v>
      </c>
      <c r="M56" s="35">
        <v>0</v>
      </c>
      <c r="N56" s="35">
        <v>0</v>
      </c>
      <c r="O56" s="36"/>
      <c r="P56" s="35">
        <v>0</v>
      </c>
      <c r="Q56" s="37">
        <v>43</v>
      </c>
      <c r="R56" s="38">
        <v>1</v>
      </c>
      <c r="S56" s="39">
        <v>0</v>
      </c>
      <c r="T56" s="29">
        <v>0</v>
      </c>
      <c r="U56" s="29">
        <v>24</v>
      </c>
      <c r="V56" s="29">
        <v>1</v>
      </c>
      <c r="W56" s="29">
        <v>1</v>
      </c>
      <c r="X56" s="17"/>
      <c r="Y56" s="17"/>
      <c r="Z56" s="17"/>
      <c r="AA56" s="17"/>
      <c r="AB56" s="17"/>
      <c r="AC56" s="17"/>
      <c r="AD56" s="29">
        <v>1</v>
      </c>
      <c r="AE56" t="s" s="13">
        <v>187</v>
      </c>
      <c r="AF56" s="17"/>
      <c r="AG56" s="17"/>
      <c r="AH56" s="17"/>
      <c r="AI56" s="17"/>
      <c r="AJ56" s="17"/>
      <c r="AK56" s="17"/>
      <c r="AL56" s="17"/>
      <c r="AM56" s="17"/>
      <c r="AN56" s="17"/>
      <c r="AO56" s="17"/>
      <c r="AP56" s="17"/>
      <c r="AQ56" s="17"/>
    </row>
    <row r="57" ht="17.45" customHeight="1">
      <c r="A57" t="s" s="13">
        <v>263</v>
      </c>
      <c r="B57" s="17"/>
      <c r="C57" s="29">
        <v>12</v>
      </c>
      <c r="D57" t="s" s="13">
        <v>168</v>
      </c>
      <c r="E57" t="s" s="13">
        <v>264</v>
      </c>
      <c r="F57" t="s" s="13">
        <v>267</v>
      </c>
      <c r="G57" s="29">
        <v>1</v>
      </c>
      <c r="H57" s="17"/>
      <c r="I57" s="17"/>
      <c r="J57" s="17"/>
      <c r="K57" s="17"/>
      <c r="L57" s="17"/>
      <c r="M57" s="29">
        <v>1</v>
      </c>
      <c r="N57" s="36"/>
      <c r="O57" s="36"/>
      <c r="P57" s="36"/>
      <c r="Q57" s="29">
        <v>21</v>
      </c>
      <c r="R57" s="72"/>
      <c r="S57" s="41">
        <v>1</v>
      </c>
      <c r="T57" s="20"/>
      <c r="U57" s="36"/>
      <c r="V57" s="17"/>
      <c r="W57" s="17"/>
      <c r="X57" s="17"/>
      <c r="Y57" s="17"/>
      <c r="Z57" s="17"/>
      <c r="AA57" s="17"/>
      <c r="AB57" s="17"/>
      <c r="AC57" s="17"/>
      <c r="AD57" s="29">
        <v>1</v>
      </c>
      <c r="AE57" t="s" s="13">
        <v>187</v>
      </c>
      <c r="AF57" s="17"/>
      <c r="AG57" s="17"/>
      <c r="AH57" s="17"/>
      <c r="AI57" s="17"/>
      <c r="AJ57" s="17"/>
      <c r="AK57" s="17"/>
      <c r="AL57" s="17"/>
      <c r="AM57" s="17"/>
      <c r="AN57" s="17"/>
      <c r="AO57" s="17"/>
      <c r="AP57" s="17"/>
      <c r="AQ57" s="17"/>
    </row>
    <row r="58" ht="17.45" customHeight="1">
      <c r="A58" t="s" s="13">
        <v>263</v>
      </c>
      <c r="B58" s="17"/>
      <c r="C58" s="29">
        <v>12</v>
      </c>
      <c r="D58" t="s" s="13">
        <v>168</v>
      </c>
      <c r="E58" t="s" s="13">
        <v>268</v>
      </c>
      <c r="F58" t="s" s="13">
        <v>269</v>
      </c>
      <c r="G58" s="29">
        <v>1</v>
      </c>
      <c r="H58" s="17"/>
      <c r="I58" s="17"/>
      <c r="J58" s="17"/>
      <c r="K58" s="17"/>
      <c r="L58" s="17"/>
      <c r="M58" s="17"/>
      <c r="N58" s="36"/>
      <c r="O58" s="36"/>
      <c r="P58" s="35">
        <v>1</v>
      </c>
      <c r="Q58" s="29">
        <v>30</v>
      </c>
      <c r="R58" s="55"/>
      <c r="S58" s="41">
        <v>1</v>
      </c>
      <c r="T58" s="20"/>
      <c r="U58" s="36"/>
      <c r="V58" s="17"/>
      <c r="W58" s="17"/>
      <c r="X58" t="s" s="13">
        <v>270</v>
      </c>
      <c r="Y58" s="17"/>
      <c r="Z58" s="29">
        <v>1</v>
      </c>
      <c r="AA58" s="17"/>
      <c r="AB58" s="29">
        <v>1</v>
      </c>
      <c r="AC58" s="17"/>
      <c r="AD58" s="29">
        <v>1</v>
      </c>
      <c r="AE58" t="s" s="13">
        <v>187</v>
      </c>
      <c r="AF58" s="17"/>
      <c r="AG58" s="17"/>
      <c r="AH58" s="17"/>
      <c r="AI58" s="17"/>
      <c r="AJ58" s="17"/>
      <c r="AK58" s="17"/>
      <c r="AL58" s="17"/>
      <c r="AM58" s="17"/>
      <c r="AN58" s="17"/>
      <c r="AO58" s="17"/>
      <c r="AP58" s="17"/>
      <c r="AQ58" s="17"/>
    </row>
    <row r="59" ht="17.45" customHeight="1">
      <c r="A59" t="s" s="12">
        <v>263</v>
      </c>
      <c r="B59" s="17"/>
      <c r="C59" s="29">
        <v>12</v>
      </c>
      <c r="D59" t="s" s="13">
        <v>168</v>
      </c>
      <c r="E59" t="s" s="13">
        <v>271</v>
      </c>
      <c r="F59" t="s" s="13">
        <v>272</v>
      </c>
      <c r="G59" s="29">
        <v>1</v>
      </c>
      <c r="H59" s="17"/>
      <c r="I59" s="17"/>
      <c r="J59" s="17"/>
      <c r="K59" s="63"/>
      <c r="L59" s="17"/>
      <c r="M59" s="17"/>
      <c r="N59" s="36"/>
      <c r="O59" s="36"/>
      <c r="P59" s="35">
        <v>1</v>
      </c>
      <c r="Q59" s="29">
        <v>24</v>
      </c>
      <c r="R59" s="55"/>
      <c r="S59" s="41">
        <v>1</v>
      </c>
      <c r="T59" s="64"/>
      <c r="U59" s="36"/>
      <c r="V59" s="17"/>
      <c r="W59" s="17"/>
      <c r="X59" t="s" s="13">
        <v>270</v>
      </c>
      <c r="Y59" s="17"/>
      <c r="Z59" s="29">
        <v>1</v>
      </c>
      <c r="AA59" s="17"/>
      <c r="AB59" s="29">
        <v>1</v>
      </c>
      <c r="AC59" s="29">
        <v>1</v>
      </c>
      <c r="AD59" s="17"/>
      <c r="AE59" s="17"/>
      <c r="AF59" s="17"/>
      <c r="AG59" s="17"/>
      <c r="AH59" s="17"/>
      <c r="AI59" s="17"/>
      <c r="AJ59" s="17"/>
      <c r="AK59" s="17"/>
      <c r="AL59" s="17"/>
      <c r="AM59" s="17"/>
      <c r="AN59" s="17"/>
      <c r="AO59" s="17"/>
      <c r="AP59" s="17"/>
      <c r="AQ59" s="17"/>
    </row>
    <row r="60" ht="17.45" customHeight="1">
      <c r="A60" t="s" s="68">
        <v>273</v>
      </c>
      <c r="B60" s="20"/>
      <c r="C60" s="29">
        <v>14</v>
      </c>
      <c r="D60" t="s" s="13">
        <v>127</v>
      </c>
      <c r="E60" t="s" s="13">
        <v>274</v>
      </c>
      <c r="F60" t="s" s="13">
        <v>154</v>
      </c>
      <c r="G60" s="29">
        <v>1</v>
      </c>
      <c r="H60" s="29">
        <v>0</v>
      </c>
      <c r="I60" s="29">
        <v>0</v>
      </c>
      <c r="J60" s="37">
        <v>0</v>
      </c>
      <c r="K60" s="49">
        <v>1</v>
      </c>
      <c r="L60" s="50">
        <v>0</v>
      </c>
      <c r="M60" s="35">
        <v>0</v>
      </c>
      <c r="N60" s="35">
        <v>0</v>
      </c>
      <c r="O60" s="36"/>
      <c r="P60" s="35">
        <v>0</v>
      </c>
      <c r="Q60" s="29">
        <v>71</v>
      </c>
      <c r="R60" s="35">
        <v>0</v>
      </c>
      <c r="S60" s="40">
        <v>0</v>
      </c>
      <c r="T60" s="52">
        <v>1</v>
      </c>
      <c r="U60" s="42">
        <v>0</v>
      </c>
      <c r="V60" s="29">
        <v>3</v>
      </c>
      <c r="W60" s="29">
        <v>2</v>
      </c>
      <c r="X60" t="s" s="13">
        <v>171</v>
      </c>
      <c r="Y60" s="17"/>
      <c r="Z60" s="17"/>
      <c r="AA60" s="17"/>
      <c r="AB60" s="17"/>
      <c r="AC60" s="29">
        <v>1</v>
      </c>
      <c r="AD60" s="17"/>
      <c r="AE60" s="17"/>
      <c r="AF60" s="17"/>
      <c r="AG60" s="17"/>
      <c r="AH60" s="17"/>
      <c r="AI60" s="17"/>
      <c r="AJ60" s="17"/>
      <c r="AK60" s="17"/>
      <c r="AL60" s="17"/>
      <c r="AM60" s="17"/>
      <c r="AN60" s="17"/>
      <c r="AO60" s="17"/>
      <c r="AP60" s="17"/>
      <c r="AQ60" s="17"/>
    </row>
    <row r="61" ht="17.45" customHeight="1">
      <c r="A61" t="s" s="68">
        <v>273</v>
      </c>
      <c r="B61" s="20"/>
      <c r="C61" s="29">
        <v>14</v>
      </c>
      <c r="D61" t="s" s="13">
        <v>127</v>
      </c>
      <c r="E61" t="s" s="13">
        <v>229</v>
      </c>
      <c r="F61" t="s" s="13">
        <v>275</v>
      </c>
      <c r="G61" s="29">
        <v>1</v>
      </c>
      <c r="H61" s="17"/>
      <c r="I61" s="17"/>
      <c r="J61" s="17"/>
      <c r="K61" s="31"/>
      <c r="L61" s="17"/>
      <c r="M61" s="35">
        <v>1</v>
      </c>
      <c r="N61" s="36"/>
      <c r="O61" s="36"/>
      <c r="P61" s="36"/>
      <c r="Q61" s="29">
        <v>38</v>
      </c>
      <c r="R61" s="36"/>
      <c r="S61" s="55"/>
      <c r="T61" s="52">
        <v>1</v>
      </c>
      <c r="U61" s="57"/>
      <c r="V61" s="29">
        <v>1</v>
      </c>
      <c r="W61" s="29">
        <v>1</v>
      </c>
      <c r="X61" t="s" s="13">
        <v>171</v>
      </c>
      <c r="Y61" s="17"/>
      <c r="Z61" s="17"/>
      <c r="AA61" s="17"/>
      <c r="AB61" s="17"/>
      <c r="AC61" s="29">
        <v>1</v>
      </c>
      <c r="AD61" s="17"/>
      <c r="AE61" s="17"/>
      <c r="AF61" s="17"/>
      <c r="AG61" s="17"/>
      <c r="AH61" s="17"/>
      <c r="AI61" s="17"/>
      <c r="AJ61" s="17"/>
      <c r="AK61" s="17"/>
      <c r="AL61" s="17"/>
      <c r="AM61" s="17"/>
      <c r="AN61" s="17"/>
      <c r="AO61" s="17"/>
      <c r="AP61" s="17"/>
      <c r="AQ61" s="17"/>
    </row>
    <row r="62" ht="17" customHeight="1">
      <c r="A62" t="s" s="68">
        <v>273</v>
      </c>
      <c r="B62" s="20"/>
      <c r="C62" s="29">
        <v>14</v>
      </c>
      <c r="D62" t="s" s="13">
        <v>127</v>
      </c>
      <c r="E62" t="s" s="13">
        <v>229</v>
      </c>
      <c r="F62" t="s" s="13">
        <v>276</v>
      </c>
      <c r="G62" s="17"/>
      <c r="H62" s="29">
        <v>1</v>
      </c>
      <c r="I62" s="17"/>
      <c r="J62" s="17"/>
      <c r="K62" s="63"/>
      <c r="L62" s="17"/>
      <c r="M62" s="36"/>
      <c r="N62" s="36"/>
      <c r="O62" t="s" s="47">
        <v>256</v>
      </c>
      <c r="P62" s="36"/>
      <c r="Q62" s="29">
        <v>19</v>
      </c>
      <c r="R62" s="36"/>
      <c r="S62" s="35">
        <v>1</v>
      </c>
      <c r="T62" s="77"/>
      <c r="U62" s="36"/>
      <c r="V62" s="17"/>
      <c r="W62" s="17"/>
      <c r="X62" t="s" s="13">
        <v>277</v>
      </c>
      <c r="Y62" t="s" s="13">
        <v>278</v>
      </c>
      <c r="Z62" s="29">
        <v>1</v>
      </c>
      <c r="AA62" s="17"/>
      <c r="AB62" s="29">
        <v>1</v>
      </c>
      <c r="AC62" s="29">
        <v>1</v>
      </c>
      <c r="AD62" s="17"/>
      <c r="AE62" s="17"/>
      <c r="AF62" s="17"/>
      <c r="AG62" s="17"/>
      <c r="AH62" s="17"/>
      <c r="AI62" s="17"/>
      <c r="AJ62" s="17"/>
      <c r="AK62" s="17"/>
      <c r="AL62" s="17"/>
      <c r="AM62" s="17"/>
      <c r="AN62" s="17"/>
      <c r="AO62" s="17"/>
      <c r="AP62" s="17"/>
      <c r="AQ62" s="17"/>
    </row>
    <row r="63" ht="17.45" customHeight="1">
      <c r="A63" t="s" s="68">
        <v>279</v>
      </c>
      <c r="B63" s="20"/>
      <c r="C63" s="29">
        <v>16</v>
      </c>
      <c r="D63" t="s" s="13">
        <v>127</v>
      </c>
      <c r="E63" t="s" s="13">
        <v>280</v>
      </c>
      <c r="F63" t="s" s="13">
        <v>281</v>
      </c>
      <c r="G63" s="29">
        <v>1</v>
      </c>
      <c r="H63" s="29">
        <v>0</v>
      </c>
      <c r="I63" s="29">
        <v>0</v>
      </c>
      <c r="J63" s="37">
        <v>0</v>
      </c>
      <c r="K63" s="49">
        <v>1</v>
      </c>
      <c r="L63" s="50">
        <v>0</v>
      </c>
      <c r="M63" s="35">
        <v>0</v>
      </c>
      <c r="N63" s="35">
        <v>0</v>
      </c>
      <c r="O63" s="36"/>
      <c r="P63" s="35">
        <v>0</v>
      </c>
      <c r="Q63" s="29">
        <v>53</v>
      </c>
      <c r="R63" s="35">
        <v>0</v>
      </c>
      <c r="S63" s="69">
        <v>0</v>
      </c>
      <c r="T63" s="52">
        <v>1</v>
      </c>
      <c r="U63" s="42">
        <v>0</v>
      </c>
      <c r="V63" s="35">
        <v>0</v>
      </c>
      <c r="W63" s="35">
        <v>0</v>
      </c>
      <c r="X63" t="s" s="13">
        <v>171</v>
      </c>
      <c r="Y63" s="17"/>
      <c r="Z63" s="17"/>
      <c r="AA63" s="17"/>
      <c r="AB63" s="17"/>
      <c r="AC63" s="29">
        <v>1</v>
      </c>
      <c r="AD63" s="17"/>
      <c r="AE63" s="17"/>
      <c r="AF63" s="17"/>
      <c r="AG63" s="17"/>
      <c r="AH63" s="17"/>
      <c r="AI63" s="17"/>
      <c r="AJ63" s="17"/>
      <c r="AK63" s="17"/>
      <c r="AL63" s="17"/>
      <c r="AM63" s="17"/>
      <c r="AN63" s="17"/>
      <c r="AO63" s="17"/>
      <c r="AP63" s="17"/>
      <c r="AQ63" s="17"/>
    </row>
    <row r="64" ht="17.45" customHeight="1">
      <c r="A64" t="s" s="68">
        <v>279</v>
      </c>
      <c r="B64" s="20"/>
      <c r="C64" s="29">
        <v>16</v>
      </c>
      <c r="D64" t="s" s="13">
        <v>127</v>
      </c>
      <c r="E64" t="s" s="13">
        <v>282</v>
      </c>
      <c r="F64" t="s" s="13">
        <v>43</v>
      </c>
      <c r="G64" s="29">
        <v>1</v>
      </c>
      <c r="H64" s="17"/>
      <c r="I64" s="17"/>
      <c r="J64" s="17"/>
      <c r="K64" s="31"/>
      <c r="L64" s="17"/>
      <c r="M64" s="17"/>
      <c r="N64" s="17"/>
      <c r="O64" s="17"/>
      <c r="P64" s="35">
        <v>1</v>
      </c>
      <c r="Q64" s="29">
        <v>41</v>
      </c>
      <c r="R64" s="76"/>
      <c r="S64" s="41">
        <v>1</v>
      </c>
      <c r="T64" s="65"/>
      <c r="U64" s="17"/>
      <c r="V64" s="17"/>
      <c r="W64" s="17"/>
      <c r="X64" t="s" s="13">
        <v>159</v>
      </c>
      <c r="Y64" s="17"/>
      <c r="Z64" s="29">
        <v>1</v>
      </c>
      <c r="AA64" s="17"/>
      <c r="AB64" s="29">
        <v>1</v>
      </c>
      <c r="AC64" s="29">
        <v>1</v>
      </c>
      <c r="AD64" s="17"/>
      <c r="AE64" s="17"/>
      <c r="AF64" s="17"/>
      <c r="AG64" s="17"/>
      <c r="AH64" s="17"/>
      <c r="AI64" s="17"/>
      <c r="AJ64" s="17"/>
      <c r="AK64" s="17"/>
      <c r="AL64" s="17"/>
      <c r="AM64" s="17"/>
      <c r="AN64" s="17"/>
      <c r="AO64" s="17"/>
      <c r="AP64" s="17"/>
      <c r="AQ64" s="17"/>
    </row>
    <row r="65" ht="17.45" customHeight="1">
      <c r="A65" t="s" s="68">
        <v>279</v>
      </c>
      <c r="B65" s="20"/>
      <c r="C65" s="29">
        <v>16</v>
      </c>
      <c r="D65" t="s" s="13">
        <v>127</v>
      </c>
      <c r="E65" t="s" s="13">
        <v>283</v>
      </c>
      <c r="F65" t="s" s="13">
        <v>284</v>
      </c>
      <c r="G65" s="29">
        <v>1</v>
      </c>
      <c r="H65" s="17"/>
      <c r="I65" s="17"/>
      <c r="J65" s="17"/>
      <c r="K65" s="17"/>
      <c r="L65" s="17"/>
      <c r="M65" s="17"/>
      <c r="N65" s="17"/>
      <c r="O65" s="17"/>
      <c r="P65" s="29">
        <v>1</v>
      </c>
      <c r="Q65" s="29">
        <v>17</v>
      </c>
      <c r="R65" s="76"/>
      <c r="S65" s="41">
        <v>1</v>
      </c>
      <c r="T65" s="20"/>
      <c r="U65" s="17"/>
      <c r="V65" s="17"/>
      <c r="W65" s="17"/>
      <c r="X65" t="s" s="13">
        <v>162</v>
      </c>
      <c r="Y65" s="17"/>
      <c r="Z65" s="29">
        <v>1</v>
      </c>
      <c r="AA65" s="17"/>
      <c r="AB65" s="29">
        <v>1</v>
      </c>
      <c r="AC65" s="29">
        <v>1</v>
      </c>
      <c r="AD65" s="17"/>
      <c r="AE65" s="17"/>
      <c r="AF65" s="17"/>
      <c r="AG65" s="17"/>
      <c r="AH65" s="17"/>
      <c r="AI65" s="17"/>
      <c r="AJ65" s="17"/>
      <c r="AK65" s="17"/>
      <c r="AL65" s="17"/>
      <c r="AM65" s="17"/>
      <c r="AN65" s="17"/>
      <c r="AO65" s="17"/>
      <c r="AP65" s="17"/>
      <c r="AQ65" s="17"/>
    </row>
    <row r="66" ht="17" customHeight="1">
      <c r="A66" t="s" s="30">
        <v>285</v>
      </c>
      <c r="B66" s="29">
        <v>13</v>
      </c>
      <c r="C66" s="17"/>
      <c r="D66" s="17"/>
      <c r="E66" s="29">
        <v>42</v>
      </c>
      <c r="F66" s="17"/>
      <c r="G66" s="29">
        <f>SUM(G3:G65)</f>
        <v>49</v>
      </c>
      <c r="H66" s="29">
        <f>SUM(H3:H65)</f>
        <v>11</v>
      </c>
      <c r="I66" s="29">
        <f>SUM(I3:I65)</f>
        <v>2</v>
      </c>
      <c r="J66" s="29">
        <f>SUM(J3:J65)</f>
        <v>0</v>
      </c>
      <c r="K66" s="29">
        <f>SUM(K3:K65)</f>
        <v>13</v>
      </c>
      <c r="L66" s="29">
        <f>SUM(L3:L65)</f>
        <v>5</v>
      </c>
      <c r="M66" s="29">
        <f>SUM(M3:M65)</f>
        <v>10</v>
      </c>
      <c r="N66" s="29">
        <f>SUM(N3:N65)</f>
        <v>2</v>
      </c>
      <c r="O66" s="29">
        <v>6</v>
      </c>
      <c r="P66" s="29">
        <f>SUM(P3:P65)</f>
        <v>27</v>
      </c>
      <c r="Q66" s="29">
        <f>SUM(Q3:Q65)</f>
        <v>2532</v>
      </c>
      <c r="R66" s="29">
        <f>SUM(R3:R65)</f>
        <v>11</v>
      </c>
      <c r="S66" s="53">
        <f>SUM(S3:S65)</f>
        <v>37</v>
      </c>
      <c r="T66" s="29">
        <f>SUM(T3:T65)</f>
        <v>12</v>
      </c>
      <c r="U66" s="29">
        <f>SUM(U3:U65)</f>
        <v>216</v>
      </c>
      <c r="V66" s="29">
        <f>SUM(V3:V65)</f>
        <v>29</v>
      </c>
      <c r="W66" s="29">
        <f>SUM(W3:W65)</f>
        <v>25</v>
      </c>
      <c r="X66" s="17"/>
      <c r="Y66" s="17"/>
      <c r="Z66" s="29">
        <f>SUM(Z3:Z65)</f>
        <v>39</v>
      </c>
      <c r="AA66" s="29">
        <f>SUM(AA3:AA65)</f>
        <v>8</v>
      </c>
      <c r="AB66" s="29">
        <f>SUM(AB3:AB65)</f>
        <v>31</v>
      </c>
      <c r="AC66" s="29">
        <f>SUM(AC3:AC65)</f>
        <v>29</v>
      </c>
      <c r="AD66" s="29">
        <f>SUM(AD3:AD65)</f>
        <v>33</v>
      </c>
      <c r="AE66" s="17"/>
      <c r="AF66" s="17"/>
      <c r="AG66" s="17"/>
      <c r="AH66" s="17"/>
      <c r="AI66" s="17"/>
      <c r="AJ66" s="17"/>
      <c r="AK66" s="17"/>
      <c r="AL66" s="17"/>
      <c r="AM66" s="17"/>
      <c r="AN66" s="17"/>
      <c r="AO66" s="17"/>
      <c r="AP66" s="17"/>
      <c r="AQ66" s="17"/>
    </row>
    <row r="67" ht="17" customHeight="1">
      <c r="A67" s="17"/>
      <c r="B67" s="17"/>
      <c r="C67" s="17"/>
      <c r="D67" s="17"/>
      <c r="E67" s="17"/>
      <c r="F67" t="s" s="13">
        <v>286</v>
      </c>
      <c r="G67" s="29">
        <f>G66+H66+I66+J66</f>
        <v>62</v>
      </c>
      <c r="H67" s="17"/>
      <c r="I67" s="17"/>
      <c r="J67" s="17"/>
      <c r="K67" s="48">
        <f>K66+L66+M66+N66+O66+P66</f>
        <v>63</v>
      </c>
      <c r="L67" s="17"/>
      <c r="M67" s="17"/>
      <c r="N67" s="17"/>
      <c r="O67" s="17"/>
      <c r="P67" t="s" s="13">
        <v>287</v>
      </c>
      <c r="Q67" s="78">
        <f>Q66/K67</f>
        <v>40.1904761904762</v>
      </c>
      <c r="R67" t="s" s="13">
        <v>288</v>
      </c>
      <c r="S67" s="29">
        <f>R66+T66+S66</f>
        <v>60</v>
      </c>
      <c r="T67" s="17"/>
      <c r="U67" t="s" s="13">
        <v>289</v>
      </c>
      <c r="V67" s="17"/>
      <c r="W67" s="17"/>
      <c r="X67" s="17"/>
      <c r="Y67" s="17"/>
      <c r="Z67" s="17"/>
      <c r="AA67" t="s" s="13">
        <v>290</v>
      </c>
      <c r="AB67" s="17"/>
      <c r="AC67" s="17"/>
      <c r="AD67" s="17"/>
      <c r="AE67" t="s" s="13">
        <v>291</v>
      </c>
      <c r="AF67" s="29">
        <v>8</v>
      </c>
      <c r="AG67" s="17"/>
      <c r="AH67" s="17"/>
      <c r="AI67" s="17"/>
      <c r="AJ67" s="17"/>
      <c r="AK67" s="17"/>
      <c r="AL67" s="17"/>
      <c r="AM67" s="17"/>
      <c r="AN67" s="17"/>
      <c r="AO67" s="17"/>
      <c r="AP67" s="17"/>
      <c r="AQ67" s="17"/>
    </row>
    <row r="68" ht="17" customHeight="1">
      <c r="A68" s="17"/>
      <c r="B68" s="17"/>
      <c r="C68" s="17"/>
      <c r="D68" s="17"/>
      <c r="E68" s="17"/>
      <c r="F68" s="17"/>
      <c r="G68" s="79">
        <f>G66/G67</f>
        <v>0.790322580645161</v>
      </c>
      <c r="H68" s="79">
        <f>H66/G67</f>
        <v>0.17741935483871</v>
      </c>
      <c r="I68" s="79">
        <f>I66/G67</f>
        <v>0.032258064516129</v>
      </c>
      <c r="J68" s="76"/>
      <c r="K68" t="s" s="80">
        <v>292</v>
      </c>
      <c r="L68" s="20"/>
      <c r="M68" s="17"/>
      <c r="N68" s="17"/>
      <c r="O68" s="17"/>
      <c r="P68" t="s" s="13">
        <v>293</v>
      </c>
      <c r="Q68" s="78">
        <f>(Q66-Q46-Q22)/60</f>
        <v>41.8666666666667</v>
      </c>
      <c r="R68" s="81">
        <f>R66/S67</f>
        <v>0.183333333333333</v>
      </c>
      <c r="S68" s="81">
        <f>S66/S67</f>
        <v>0.616666666666667</v>
      </c>
      <c r="T68" s="81">
        <f>T66/S67</f>
        <v>0.2</v>
      </c>
      <c r="U68" s="17"/>
      <c r="V68" s="17"/>
      <c r="W68" s="17"/>
      <c r="X68" s="17"/>
      <c r="Y68" s="17"/>
      <c r="Z68" s="17"/>
      <c r="AA68" t="s" s="13">
        <v>294</v>
      </c>
      <c r="AB68" s="17"/>
      <c r="AC68" s="17"/>
      <c r="AD68" s="17"/>
      <c r="AE68" t="s" s="13">
        <v>257</v>
      </c>
      <c r="AF68" s="29">
        <v>2</v>
      </c>
      <c r="AG68" s="17"/>
      <c r="AH68" s="17"/>
      <c r="AI68" s="17"/>
      <c r="AJ68" s="17"/>
      <c r="AK68" s="17"/>
      <c r="AL68" s="17"/>
      <c r="AM68" s="17"/>
      <c r="AN68" s="17"/>
      <c r="AO68" s="17"/>
      <c r="AP68" s="17"/>
      <c r="AQ68" s="17"/>
    </row>
    <row r="69" ht="17.45" customHeight="1">
      <c r="A69" s="17"/>
      <c r="B69" s="17"/>
      <c r="C69" s="17"/>
      <c r="D69" s="17"/>
      <c r="E69" s="17"/>
      <c r="F69" s="17"/>
      <c r="G69" s="17"/>
      <c r="H69" s="17"/>
      <c r="I69" s="17"/>
      <c r="J69" s="17"/>
      <c r="K69" s="31"/>
      <c r="L69" s="17"/>
      <c r="M69" s="17"/>
      <c r="N69" s="17"/>
      <c r="O69" s="17"/>
      <c r="P69" t="s" s="13">
        <v>295</v>
      </c>
      <c r="Q69" s="76"/>
      <c r="R69" s="38">
        <v>6</v>
      </c>
      <c r="S69" s="41">
        <v>33</v>
      </c>
      <c r="T69" s="52">
        <v>10</v>
      </c>
      <c r="U69" s="20"/>
      <c r="V69" s="17"/>
      <c r="W69" s="17"/>
      <c r="X69" s="17"/>
      <c r="Y69" s="17"/>
      <c r="Z69" s="17"/>
      <c r="AA69" s="17"/>
      <c r="AB69" s="17"/>
      <c r="AC69" s="29">
        <f>AC66+AD66</f>
        <v>62</v>
      </c>
      <c r="AD69" s="17"/>
      <c r="AE69" s="17"/>
      <c r="AF69" s="17"/>
      <c r="AG69" s="17"/>
      <c r="AH69" s="17"/>
      <c r="AI69" s="17"/>
      <c r="AJ69" s="17"/>
      <c r="AK69" s="17"/>
      <c r="AL69" s="17"/>
      <c r="AM69" s="17"/>
      <c r="AN69" s="17"/>
      <c r="AO69" s="17"/>
      <c r="AP69" s="17"/>
      <c r="AQ69" s="17"/>
    </row>
    <row r="70" ht="17" customHeight="1">
      <c r="A70" s="17"/>
      <c r="B70" s="17"/>
      <c r="C70" s="17"/>
      <c r="D70" s="17"/>
      <c r="E70" s="17"/>
      <c r="F70" s="17"/>
      <c r="G70" s="17"/>
      <c r="H70" s="17"/>
      <c r="I70" s="17"/>
      <c r="J70" s="17"/>
      <c r="K70" s="17"/>
      <c r="L70" s="17"/>
      <c r="M70" s="17"/>
      <c r="N70" s="17"/>
      <c r="O70" s="17"/>
      <c r="P70" t="s" s="13">
        <v>296</v>
      </c>
      <c r="Q70" s="17"/>
      <c r="R70" s="82">
        <f>R69/R66</f>
        <v>0.545454545454545</v>
      </c>
      <c r="S70" s="82">
        <f>S69/S66</f>
        <v>0.891891891891892</v>
      </c>
      <c r="T70" s="82">
        <f>T69/T66</f>
        <v>0.833333333333333</v>
      </c>
      <c r="U70" s="17"/>
      <c r="V70" s="17"/>
      <c r="W70" s="17"/>
      <c r="X70" s="17"/>
      <c r="Y70" s="17"/>
      <c r="Z70" s="17"/>
      <c r="AA70" s="17"/>
      <c r="AB70" s="17"/>
      <c r="AC70" s="83">
        <f>AC66/AC69</f>
        <v>0.467741935483871</v>
      </c>
      <c r="AD70" s="83">
        <f>AD66/AC69</f>
        <v>0.532258064516129</v>
      </c>
      <c r="AE70" s="17"/>
      <c r="AF70" s="17"/>
      <c r="AG70" s="17"/>
      <c r="AH70" s="17"/>
      <c r="AI70" s="17"/>
      <c r="AJ70" s="17"/>
      <c r="AK70" s="17"/>
      <c r="AL70" s="17"/>
      <c r="AM70" s="17"/>
      <c r="AN70" s="17"/>
      <c r="AO70" s="17"/>
      <c r="AP70" s="17"/>
      <c r="AQ70" s="17"/>
    </row>
    <row r="71" ht="17.45" customHeight="1">
      <c r="A71" s="17"/>
      <c r="B71" s="17"/>
      <c r="C71" s="17"/>
      <c r="D71" s="17"/>
      <c r="E71" s="17"/>
      <c r="F71" s="17"/>
      <c r="G71" s="17"/>
      <c r="H71" s="17"/>
      <c r="I71" s="17"/>
      <c r="J71" s="17"/>
      <c r="K71" s="17"/>
      <c r="L71" s="17"/>
      <c r="M71" s="17"/>
      <c r="N71" s="17"/>
      <c r="O71" s="17"/>
      <c r="P71" s="17"/>
      <c r="Q71" s="17"/>
      <c r="R71" s="36"/>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Q36"/>
  <sheetViews>
    <sheetView workbookViewId="0" showGridLines="0" defaultGridColor="1"/>
  </sheetViews>
  <sheetFormatPr defaultColWidth="10.8333" defaultRowHeight="16" customHeight="1" outlineLevelRow="0" outlineLevelCol="0"/>
  <cols>
    <col min="1" max="3" width="10.8516" style="84" customWidth="1"/>
    <col min="4" max="4" width="17.8516" style="84" customWidth="1"/>
    <col min="5" max="5" width="20.1719" style="84" customWidth="1"/>
    <col min="6" max="6" width="22.8516" style="84" customWidth="1"/>
    <col min="7" max="9" width="10.8516" style="84" customWidth="1"/>
    <col min="10" max="10" width="14.5" style="84" customWidth="1"/>
    <col min="11" max="11" width="19.1719" style="84" customWidth="1"/>
    <col min="12" max="12" width="7.85156" style="84" customWidth="1"/>
    <col min="13" max="13" width="10" style="84" customWidth="1"/>
    <col min="14" max="14" width="6" style="84" customWidth="1"/>
    <col min="15" max="15" width="9.85156" style="84" customWidth="1"/>
    <col min="16" max="16" width="11.5" style="84" customWidth="1"/>
    <col min="17" max="23" hidden="1" width="10.8333" style="84" customWidth="1"/>
    <col min="24" max="24" width="31" style="84" customWidth="1"/>
    <col min="25" max="25" width="19.8516" style="84" customWidth="1"/>
    <col min="26" max="26" width="12.1719" style="84" customWidth="1"/>
    <col min="27" max="30" width="16.5" style="84" customWidth="1"/>
    <col min="31" max="31" width="17.8516" style="84" customWidth="1"/>
    <col min="32" max="32" width="14.6719" style="84" customWidth="1"/>
    <col min="33" max="33" width="11" style="84" customWidth="1"/>
    <col min="34" max="34" width="11.1719" style="84" customWidth="1"/>
    <col min="35" max="35" width="7.85156" style="84" customWidth="1"/>
    <col min="36" max="37" width="10.8516" style="84" customWidth="1"/>
    <col min="38" max="38" width="7.35156" style="84" customWidth="1"/>
    <col min="39" max="39" width="10.8516" style="84" customWidth="1"/>
    <col min="40" max="40" width="9.17188" style="84" customWidth="1"/>
    <col min="41" max="41" width="10.8516" style="84" customWidth="1"/>
    <col min="42" max="42" width="12.5" style="84" customWidth="1"/>
    <col min="43" max="43" width="13" style="84" customWidth="1"/>
    <col min="44" max="16384" width="10.8516" style="84" customWidth="1"/>
  </cols>
  <sheetData>
    <row r="1" ht="47" customHeight="1">
      <c r="A1" t="s" s="12">
        <v>6</v>
      </c>
      <c r="B1" t="s" s="12">
        <v>7</v>
      </c>
      <c r="C1" t="s" s="13">
        <v>8</v>
      </c>
      <c r="D1" t="s" s="14">
        <v>9</v>
      </c>
      <c r="E1" t="s" s="13">
        <v>10</v>
      </c>
      <c r="F1" t="s" s="14">
        <v>11</v>
      </c>
      <c r="G1" t="s" s="14">
        <v>12</v>
      </c>
      <c r="H1" s="15"/>
      <c r="I1" s="15"/>
      <c r="J1" s="15"/>
      <c r="K1" t="s" s="16">
        <v>13</v>
      </c>
      <c r="L1" s="15"/>
      <c r="M1" s="15"/>
      <c r="N1" s="15"/>
      <c r="O1" s="15"/>
      <c r="P1" s="15"/>
      <c r="Q1" t="s" s="16">
        <v>14</v>
      </c>
      <c r="R1" t="s" s="16">
        <v>105</v>
      </c>
      <c r="S1" t="s" s="16">
        <v>106</v>
      </c>
      <c r="T1" t="s" s="16">
        <v>107</v>
      </c>
      <c r="U1" t="s" s="14">
        <v>16</v>
      </c>
      <c r="V1" t="s" s="14">
        <v>17</v>
      </c>
      <c r="W1" t="s" s="14">
        <v>18</v>
      </c>
      <c r="X1" t="s" s="14">
        <v>19</v>
      </c>
      <c r="Y1" t="s" s="14">
        <v>20</v>
      </c>
      <c r="Z1" t="s" s="14">
        <v>108</v>
      </c>
      <c r="AA1" t="s" s="14">
        <v>22</v>
      </c>
      <c r="AB1" s="15"/>
      <c r="AC1" t="s" s="14">
        <v>23</v>
      </c>
      <c r="AD1" s="15"/>
      <c r="AE1" t="s" s="13">
        <v>109</v>
      </c>
      <c r="AF1" s="17"/>
      <c r="AG1" s="17"/>
      <c r="AH1" s="17"/>
      <c r="AI1" s="17"/>
      <c r="AJ1" s="17"/>
      <c r="AK1" s="17"/>
      <c r="AL1" s="17"/>
      <c r="AM1" s="17"/>
      <c r="AN1" s="17"/>
      <c r="AO1" s="17"/>
      <c r="AP1" s="17"/>
      <c r="AQ1" s="17"/>
    </row>
    <row r="2" ht="47" customHeight="1">
      <c r="A2" t="s" s="18">
        <v>119</v>
      </c>
      <c r="B2" t="s" s="19">
        <v>120</v>
      </c>
      <c r="C2" s="20"/>
      <c r="D2" s="15"/>
      <c r="E2" s="17"/>
      <c r="F2" s="15"/>
      <c r="G2" t="s" s="14">
        <v>24</v>
      </c>
      <c r="H2" t="s" s="14">
        <v>25</v>
      </c>
      <c r="I2" t="s" s="14">
        <v>26</v>
      </c>
      <c r="J2" t="s" s="21">
        <v>27</v>
      </c>
      <c r="K2" t="s" s="85">
        <v>28</v>
      </c>
      <c r="L2" t="s" s="23">
        <v>29</v>
      </c>
      <c r="M2" t="s" s="14">
        <v>30</v>
      </c>
      <c r="N2" t="s" s="14">
        <v>31</v>
      </c>
      <c r="O2" t="s" s="14">
        <v>32</v>
      </c>
      <c r="P2" t="s" s="14">
        <v>33</v>
      </c>
      <c r="Q2" t="s" s="86">
        <v>121</v>
      </c>
      <c r="R2" t="s" s="87">
        <v>122</v>
      </c>
      <c r="S2" t="s" s="88">
        <v>123</v>
      </c>
      <c r="T2" t="s" s="89">
        <v>124</v>
      </c>
      <c r="U2" s="15"/>
      <c r="V2" s="15"/>
      <c r="W2" s="15"/>
      <c r="X2" s="15"/>
      <c r="Y2" s="15"/>
      <c r="Z2" s="90"/>
      <c r="AA2" t="s" s="91">
        <v>35</v>
      </c>
      <c r="AB2" t="s" s="91">
        <v>125</v>
      </c>
      <c r="AC2" t="s" s="14">
        <v>37</v>
      </c>
      <c r="AD2" t="s" s="13">
        <v>32</v>
      </c>
      <c r="AE2" s="17"/>
      <c r="AF2" s="17"/>
      <c r="AG2" s="17"/>
      <c r="AH2" s="17"/>
      <c r="AI2" s="17"/>
      <c r="AJ2" s="17"/>
      <c r="AK2" s="17"/>
      <c r="AL2" s="17"/>
      <c r="AM2" s="17"/>
      <c r="AN2" s="17"/>
      <c r="AO2" s="17"/>
      <c r="AP2" s="17"/>
      <c r="AQ2" s="17"/>
    </row>
    <row r="3" ht="19" customHeight="1">
      <c r="A3" t="s" s="92">
        <v>298</v>
      </c>
      <c r="B3" s="77"/>
      <c r="C3" s="48">
        <v>8</v>
      </c>
      <c r="D3" t="s" s="12">
        <v>299</v>
      </c>
      <c r="E3" t="s" s="12">
        <v>300</v>
      </c>
      <c r="F3" t="s" s="16">
        <v>301</v>
      </c>
      <c r="G3" s="93"/>
      <c r="H3" s="94">
        <v>1</v>
      </c>
      <c r="I3" s="93"/>
      <c r="J3" s="93"/>
      <c r="K3" s="34">
        <v>1</v>
      </c>
      <c r="L3" s="93"/>
      <c r="M3" s="93"/>
      <c r="N3" s="93"/>
      <c r="O3" s="93"/>
      <c r="P3" s="93"/>
      <c r="Q3" s="34">
        <v>65</v>
      </c>
      <c r="R3" s="34">
        <v>1</v>
      </c>
      <c r="S3" s="95"/>
      <c r="T3" s="95"/>
      <c r="U3" s="93"/>
      <c r="V3" s="93"/>
      <c r="W3" s="93"/>
      <c r="X3" t="s" s="16">
        <v>302</v>
      </c>
      <c r="Y3" s="96"/>
      <c r="Z3" s="97">
        <v>1</v>
      </c>
      <c r="AA3" s="97">
        <v>1</v>
      </c>
      <c r="AB3" s="98"/>
      <c r="AC3" s="99">
        <v>1</v>
      </c>
      <c r="AD3" s="93"/>
      <c r="AE3" s="63"/>
      <c r="AF3" s="63"/>
      <c r="AG3" s="63"/>
      <c r="AH3" s="63"/>
      <c r="AI3" s="63"/>
      <c r="AJ3" s="63"/>
      <c r="AK3" s="63"/>
      <c r="AL3" s="63"/>
      <c r="AM3" s="63"/>
      <c r="AN3" s="63"/>
      <c r="AO3" s="63"/>
      <c r="AP3" s="63"/>
      <c r="AQ3" s="63"/>
    </row>
    <row r="4" ht="17" customHeight="1">
      <c r="A4" t="s" s="100">
        <v>298</v>
      </c>
      <c r="B4" s="101"/>
      <c r="C4" s="102">
        <v>8</v>
      </c>
      <c r="D4" t="s" s="103">
        <v>299</v>
      </c>
      <c r="E4" t="s" s="103">
        <v>300</v>
      </c>
      <c r="F4" t="s" s="103">
        <v>303</v>
      </c>
      <c r="G4" s="102">
        <v>1</v>
      </c>
      <c r="H4" s="101"/>
      <c r="I4" s="101"/>
      <c r="J4" s="101"/>
      <c r="K4" s="101"/>
      <c r="L4" s="102">
        <v>1</v>
      </c>
      <c r="M4" s="101"/>
      <c r="N4" s="101"/>
      <c r="O4" s="101"/>
      <c r="P4" s="101"/>
      <c r="Q4" s="102">
        <v>63</v>
      </c>
      <c r="R4" s="102">
        <v>1</v>
      </c>
      <c r="S4" s="101"/>
      <c r="T4" s="101"/>
      <c r="U4" s="102">
        <v>40</v>
      </c>
      <c r="V4" s="102">
        <v>4</v>
      </c>
      <c r="W4" s="102">
        <v>3</v>
      </c>
      <c r="X4" s="101"/>
      <c r="Y4" s="104"/>
      <c r="Z4" s="105"/>
      <c r="AA4" s="105"/>
      <c r="AB4" s="105"/>
      <c r="AC4" s="106"/>
      <c r="AD4" t="s" s="103">
        <v>304</v>
      </c>
      <c r="AE4" s="101"/>
      <c r="AF4" s="101"/>
      <c r="AG4" s="101"/>
      <c r="AH4" s="101"/>
      <c r="AI4" s="101"/>
      <c r="AJ4" s="101"/>
      <c r="AK4" s="101"/>
      <c r="AL4" s="101"/>
      <c r="AM4" s="101"/>
      <c r="AN4" s="101"/>
      <c r="AO4" s="101"/>
      <c r="AP4" s="101"/>
      <c r="AQ4" s="107"/>
    </row>
    <row r="5" ht="17" customHeight="1">
      <c r="A5" t="s" s="100">
        <v>298</v>
      </c>
      <c r="B5" s="101"/>
      <c r="C5" s="102">
        <v>8</v>
      </c>
      <c r="D5" t="s" s="103">
        <v>299</v>
      </c>
      <c r="E5" t="s" s="103">
        <v>300</v>
      </c>
      <c r="F5" t="s" s="103">
        <v>305</v>
      </c>
      <c r="G5" s="102">
        <v>1</v>
      </c>
      <c r="H5" s="101"/>
      <c r="I5" s="101"/>
      <c r="J5" s="101"/>
      <c r="K5" s="101"/>
      <c r="L5" s="101"/>
      <c r="M5" s="102">
        <v>1</v>
      </c>
      <c r="N5" s="101"/>
      <c r="O5" s="101"/>
      <c r="P5" s="101"/>
      <c r="Q5" s="102">
        <v>30</v>
      </c>
      <c r="R5" s="101"/>
      <c r="S5" s="102">
        <v>1</v>
      </c>
      <c r="T5" s="101"/>
      <c r="U5" s="101"/>
      <c r="V5" s="101"/>
      <c r="W5" s="101"/>
      <c r="X5" t="s" s="103">
        <v>306</v>
      </c>
      <c r="Y5" s="104"/>
      <c r="Z5" s="108">
        <v>1</v>
      </c>
      <c r="AA5" s="105"/>
      <c r="AB5" s="108">
        <v>1</v>
      </c>
      <c r="AC5" s="109">
        <v>1</v>
      </c>
      <c r="AD5" s="101"/>
      <c r="AE5" s="101"/>
      <c r="AF5" s="101"/>
      <c r="AG5" s="101"/>
      <c r="AH5" s="101"/>
      <c r="AI5" s="101"/>
      <c r="AJ5" s="101"/>
      <c r="AK5" s="101"/>
      <c r="AL5" s="101"/>
      <c r="AM5" s="101"/>
      <c r="AN5" s="101"/>
      <c r="AO5" s="101"/>
      <c r="AP5" s="101"/>
      <c r="AQ5" s="107"/>
    </row>
    <row r="6" ht="17" customHeight="1">
      <c r="A6" t="s" s="100">
        <v>298</v>
      </c>
      <c r="B6" s="101"/>
      <c r="C6" s="102">
        <v>8</v>
      </c>
      <c r="D6" t="s" s="103">
        <v>299</v>
      </c>
      <c r="E6" t="s" s="103">
        <v>307</v>
      </c>
      <c r="F6" t="s" s="103">
        <v>234</v>
      </c>
      <c r="G6" s="102">
        <v>1</v>
      </c>
      <c r="H6" s="101"/>
      <c r="I6" s="101"/>
      <c r="J6" s="101"/>
      <c r="K6" s="101"/>
      <c r="L6" s="101"/>
      <c r="M6" s="101"/>
      <c r="N6" s="101"/>
      <c r="O6" s="101"/>
      <c r="P6" s="102">
        <v>1</v>
      </c>
      <c r="Q6" s="102">
        <v>69</v>
      </c>
      <c r="R6" s="101"/>
      <c r="S6" s="102">
        <v>1</v>
      </c>
      <c r="T6" s="101"/>
      <c r="U6" s="101"/>
      <c r="V6" s="101"/>
      <c r="W6" s="101"/>
      <c r="X6" t="s" s="103">
        <v>159</v>
      </c>
      <c r="Y6" s="104"/>
      <c r="Z6" s="108">
        <v>1</v>
      </c>
      <c r="AA6" s="105"/>
      <c r="AB6" s="108">
        <v>1</v>
      </c>
      <c r="AC6" s="106"/>
      <c r="AD6" t="s" s="103">
        <v>308</v>
      </c>
      <c r="AE6" s="101"/>
      <c r="AF6" s="101"/>
      <c r="AG6" s="101"/>
      <c r="AH6" s="101"/>
      <c r="AI6" s="101"/>
      <c r="AJ6" s="101"/>
      <c r="AK6" s="101"/>
      <c r="AL6" s="101"/>
      <c r="AM6" s="101"/>
      <c r="AN6" s="101"/>
      <c r="AO6" s="101"/>
      <c r="AP6" s="101"/>
      <c r="AQ6" s="107"/>
    </row>
    <row r="7" ht="17" customHeight="1">
      <c r="A7" t="s" s="100">
        <v>298</v>
      </c>
      <c r="B7" s="101"/>
      <c r="C7" s="102">
        <v>8</v>
      </c>
      <c r="D7" t="s" s="103">
        <v>299</v>
      </c>
      <c r="E7" t="s" s="103">
        <v>309</v>
      </c>
      <c r="F7" t="s" s="103">
        <v>310</v>
      </c>
      <c r="G7" s="102">
        <v>1</v>
      </c>
      <c r="H7" s="101"/>
      <c r="I7" s="101"/>
      <c r="J7" s="101"/>
      <c r="K7" s="101"/>
      <c r="L7" s="101"/>
      <c r="M7" s="101"/>
      <c r="N7" s="101"/>
      <c r="O7" s="101"/>
      <c r="P7" s="102">
        <v>1</v>
      </c>
      <c r="Q7" s="102">
        <v>17</v>
      </c>
      <c r="R7" s="101"/>
      <c r="S7" s="102">
        <v>1</v>
      </c>
      <c r="T7" s="101"/>
      <c r="U7" s="101"/>
      <c r="V7" s="101"/>
      <c r="W7" s="101"/>
      <c r="X7" t="s" s="103">
        <v>162</v>
      </c>
      <c r="Y7" s="104"/>
      <c r="Z7" s="108">
        <v>1</v>
      </c>
      <c r="AA7" s="105"/>
      <c r="AB7" s="108">
        <v>1</v>
      </c>
      <c r="AC7" s="106"/>
      <c r="AD7" t="s" s="103">
        <v>71</v>
      </c>
      <c r="AE7" s="101"/>
      <c r="AF7" s="101"/>
      <c r="AG7" s="101"/>
      <c r="AH7" s="101"/>
      <c r="AI7" s="101"/>
      <c r="AJ7" s="101"/>
      <c r="AK7" s="101"/>
      <c r="AL7" s="101"/>
      <c r="AM7" s="101"/>
      <c r="AN7" s="101"/>
      <c r="AO7" s="101"/>
      <c r="AP7" s="101"/>
      <c r="AQ7" s="107"/>
    </row>
    <row r="8" ht="17" customHeight="1">
      <c r="A8" t="s" s="100">
        <v>298</v>
      </c>
      <c r="B8" s="101"/>
      <c r="C8" s="102">
        <v>8</v>
      </c>
      <c r="D8" t="s" s="103">
        <v>299</v>
      </c>
      <c r="E8" t="s" s="103">
        <v>311</v>
      </c>
      <c r="F8" t="s" s="103">
        <v>312</v>
      </c>
      <c r="G8" s="102">
        <v>1</v>
      </c>
      <c r="H8" s="101"/>
      <c r="I8" s="101"/>
      <c r="J8" s="101"/>
      <c r="K8" s="101"/>
      <c r="L8" s="101"/>
      <c r="M8" s="101"/>
      <c r="N8" s="101"/>
      <c r="O8" s="101"/>
      <c r="P8" s="102">
        <v>1</v>
      </c>
      <c r="Q8" s="102">
        <v>22</v>
      </c>
      <c r="R8" s="101"/>
      <c r="S8" s="102">
        <v>1</v>
      </c>
      <c r="T8" s="101"/>
      <c r="U8" s="101"/>
      <c r="V8" s="101"/>
      <c r="W8" s="101"/>
      <c r="X8" t="s" s="103">
        <v>162</v>
      </c>
      <c r="Y8" s="104"/>
      <c r="Z8" s="108">
        <v>1</v>
      </c>
      <c r="AA8" s="105"/>
      <c r="AB8" s="108">
        <v>1</v>
      </c>
      <c r="AC8" s="106"/>
      <c r="AD8" t="s" s="103">
        <v>72</v>
      </c>
      <c r="AE8" s="101"/>
      <c r="AF8" s="101"/>
      <c r="AG8" s="101"/>
      <c r="AH8" s="101"/>
      <c r="AI8" s="101"/>
      <c r="AJ8" s="101"/>
      <c r="AK8" s="101"/>
      <c r="AL8" s="101"/>
      <c r="AM8" s="101"/>
      <c r="AN8" s="101"/>
      <c r="AO8" s="101"/>
      <c r="AP8" s="101"/>
      <c r="AQ8" s="107"/>
    </row>
    <row r="9" ht="17.45" customHeight="1">
      <c r="A9" t="s" s="30">
        <v>313</v>
      </c>
      <c r="B9" s="31"/>
      <c r="C9" s="53">
        <v>9</v>
      </c>
      <c r="D9" t="s" s="30">
        <v>299</v>
      </c>
      <c r="E9" t="s" s="30">
        <v>233</v>
      </c>
      <c r="F9" t="s" s="30">
        <v>314</v>
      </c>
      <c r="G9" s="31"/>
      <c r="H9" s="53">
        <v>1</v>
      </c>
      <c r="I9" s="31"/>
      <c r="J9" s="31"/>
      <c r="K9" s="53">
        <v>1</v>
      </c>
      <c r="L9" s="31"/>
      <c r="M9" s="58"/>
      <c r="N9" s="58"/>
      <c r="O9" s="58"/>
      <c r="P9" s="58"/>
      <c r="Q9" s="46">
        <v>61</v>
      </c>
      <c r="R9" s="46">
        <v>1</v>
      </c>
      <c r="S9" s="58"/>
      <c r="T9" s="31"/>
      <c r="U9" s="31"/>
      <c r="V9" s="31"/>
      <c r="W9" s="31"/>
      <c r="X9" t="s" s="30">
        <v>315</v>
      </c>
      <c r="Y9" s="110"/>
      <c r="Z9" s="111">
        <v>1</v>
      </c>
      <c r="AA9" s="108">
        <v>1</v>
      </c>
      <c r="AB9" s="105"/>
      <c r="AC9" s="112">
        <v>1</v>
      </c>
      <c r="AD9" s="31"/>
      <c r="AE9" s="31"/>
      <c r="AF9" s="31"/>
      <c r="AG9" s="31"/>
      <c r="AH9" s="31"/>
      <c r="AI9" s="31"/>
      <c r="AJ9" s="31"/>
      <c r="AK9" s="31"/>
      <c r="AL9" s="31"/>
      <c r="AM9" s="31"/>
      <c r="AN9" s="31"/>
      <c r="AO9" s="31"/>
      <c r="AP9" s="31"/>
      <c r="AQ9" s="31"/>
    </row>
    <row r="10" ht="17.45" customHeight="1">
      <c r="A10" t="s" s="13">
        <v>313</v>
      </c>
      <c r="B10" s="17"/>
      <c r="C10" s="29">
        <v>9</v>
      </c>
      <c r="D10" t="s" s="13">
        <v>299</v>
      </c>
      <c r="E10" t="s" s="13">
        <v>233</v>
      </c>
      <c r="F10" t="s" s="13">
        <v>316</v>
      </c>
      <c r="G10" s="29">
        <v>1</v>
      </c>
      <c r="H10" s="17"/>
      <c r="I10" s="17"/>
      <c r="J10" s="17"/>
      <c r="K10" s="17"/>
      <c r="L10" s="29">
        <v>1</v>
      </c>
      <c r="M10" s="36"/>
      <c r="N10" s="36"/>
      <c r="O10" s="36"/>
      <c r="P10" s="36"/>
      <c r="Q10" s="35">
        <v>56</v>
      </c>
      <c r="R10" s="35">
        <v>1</v>
      </c>
      <c r="S10" s="36"/>
      <c r="T10" s="36"/>
      <c r="U10" s="35">
        <v>31</v>
      </c>
      <c r="V10" s="35">
        <v>2</v>
      </c>
      <c r="W10" s="35">
        <v>2</v>
      </c>
      <c r="X10" s="17"/>
      <c r="Y10" s="113"/>
      <c r="Z10" s="105"/>
      <c r="AA10" s="105"/>
      <c r="AB10" s="105"/>
      <c r="AC10" s="114">
        <v>1</v>
      </c>
      <c r="AD10" s="17"/>
      <c r="AE10" s="17"/>
      <c r="AF10" s="17"/>
      <c r="AG10" s="17"/>
      <c r="AH10" s="17"/>
      <c r="AI10" s="17"/>
      <c r="AJ10" s="17"/>
      <c r="AK10" s="17"/>
      <c r="AL10" s="17"/>
      <c r="AM10" s="17"/>
      <c r="AN10" s="17"/>
      <c r="AO10" s="17"/>
      <c r="AP10" s="17"/>
      <c r="AQ10" s="17"/>
    </row>
    <row r="11" ht="17.45" customHeight="1">
      <c r="A11" t="s" s="13">
        <v>313</v>
      </c>
      <c r="B11" s="17"/>
      <c r="C11" s="29">
        <v>9</v>
      </c>
      <c r="D11" t="s" s="13">
        <v>299</v>
      </c>
      <c r="E11" t="s" s="13">
        <v>233</v>
      </c>
      <c r="F11" t="s" s="13">
        <v>317</v>
      </c>
      <c r="G11" s="17"/>
      <c r="H11" s="29">
        <v>1</v>
      </c>
      <c r="I11" s="17"/>
      <c r="J11" s="17"/>
      <c r="K11" s="17"/>
      <c r="L11" s="17"/>
      <c r="M11" s="36"/>
      <c r="N11" s="35">
        <v>1</v>
      </c>
      <c r="O11" s="36"/>
      <c r="P11" s="36"/>
      <c r="Q11" s="35">
        <v>29</v>
      </c>
      <c r="R11" s="36"/>
      <c r="S11" s="35">
        <v>1</v>
      </c>
      <c r="T11" s="36"/>
      <c r="U11" s="17"/>
      <c r="V11" s="17"/>
      <c r="W11" s="17"/>
      <c r="X11" t="s" s="13">
        <v>318</v>
      </c>
      <c r="Y11" s="113"/>
      <c r="Z11" s="108">
        <v>1</v>
      </c>
      <c r="AA11" s="105"/>
      <c r="AB11" s="108">
        <v>1</v>
      </c>
      <c r="AC11" s="114">
        <v>1</v>
      </c>
      <c r="AD11" s="17"/>
      <c r="AE11" s="17"/>
      <c r="AF11" s="17"/>
      <c r="AG11" s="17"/>
      <c r="AH11" s="17"/>
      <c r="AI11" s="17"/>
      <c r="AJ11" s="17"/>
      <c r="AK11" s="17"/>
      <c r="AL11" s="17"/>
      <c r="AM11" s="17"/>
      <c r="AN11" s="17"/>
      <c r="AO11" s="17"/>
      <c r="AP11" s="17"/>
      <c r="AQ11" s="17"/>
    </row>
    <row r="12" ht="17.45" customHeight="1">
      <c r="A12" t="s" s="13">
        <v>313</v>
      </c>
      <c r="B12" s="17"/>
      <c r="C12" s="29">
        <v>9</v>
      </c>
      <c r="D12" t="s" s="13">
        <v>299</v>
      </c>
      <c r="E12" t="s" s="13">
        <v>233</v>
      </c>
      <c r="F12" t="s" s="13">
        <v>319</v>
      </c>
      <c r="G12" s="17"/>
      <c r="H12" s="29">
        <v>1</v>
      </c>
      <c r="I12" s="17"/>
      <c r="J12" s="17"/>
      <c r="K12" s="17"/>
      <c r="L12" s="17"/>
      <c r="M12" s="36"/>
      <c r="N12" s="35">
        <v>1</v>
      </c>
      <c r="O12" s="36"/>
      <c r="P12" s="36"/>
      <c r="Q12" s="35">
        <v>28</v>
      </c>
      <c r="R12" s="36"/>
      <c r="S12" s="35">
        <v>1</v>
      </c>
      <c r="T12" s="36"/>
      <c r="U12" s="17"/>
      <c r="V12" s="17"/>
      <c r="W12" s="17"/>
      <c r="X12" t="s" s="13">
        <v>318</v>
      </c>
      <c r="Y12" s="113"/>
      <c r="Z12" s="108">
        <v>1</v>
      </c>
      <c r="AA12" s="105"/>
      <c r="AB12" s="108">
        <v>1</v>
      </c>
      <c r="AC12" s="114">
        <v>1</v>
      </c>
      <c r="AD12" s="17"/>
      <c r="AE12" s="17"/>
      <c r="AF12" s="17"/>
      <c r="AG12" s="17"/>
      <c r="AH12" s="17"/>
      <c r="AI12" s="17"/>
      <c r="AJ12" s="17"/>
      <c r="AK12" s="17"/>
      <c r="AL12" s="17"/>
      <c r="AM12" s="17"/>
      <c r="AN12" s="17"/>
      <c r="AO12" s="17"/>
      <c r="AP12" s="17"/>
      <c r="AQ12" s="17"/>
    </row>
    <row r="13" ht="17.45" customHeight="1">
      <c r="A13" t="s" s="13">
        <v>313</v>
      </c>
      <c r="B13" s="17"/>
      <c r="C13" s="29">
        <v>9</v>
      </c>
      <c r="D13" t="s" s="13">
        <v>299</v>
      </c>
      <c r="E13" t="s" s="13">
        <v>320</v>
      </c>
      <c r="F13" t="s" s="13">
        <v>321</v>
      </c>
      <c r="G13" s="29">
        <v>1</v>
      </c>
      <c r="H13" s="17"/>
      <c r="I13" s="17"/>
      <c r="J13" s="17"/>
      <c r="K13" s="17"/>
      <c r="L13" s="17"/>
      <c r="M13" s="36"/>
      <c r="N13" s="36"/>
      <c r="O13" s="36"/>
      <c r="P13" s="35">
        <v>1</v>
      </c>
      <c r="Q13" s="35">
        <v>26</v>
      </c>
      <c r="R13" s="36"/>
      <c r="S13" s="35">
        <v>1</v>
      </c>
      <c r="T13" s="36"/>
      <c r="U13" s="17"/>
      <c r="V13" s="17"/>
      <c r="W13" s="17"/>
      <c r="X13" t="s" s="13">
        <v>322</v>
      </c>
      <c r="Y13" s="113"/>
      <c r="Z13" s="108">
        <v>1</v>
      </c>
      <c r="AA13" s="105"/>
      <c r="AB13" s="108">
        <v>1</v>
      </c>
      <c r="AC13" s="114">
        <v>1</v>
      </c>
      <c r="AD13" s="17"/>
      <c r="AE13" s="17"/>
      <c r="AF13" s="17"/>
      <c r="AG13" s="17"/>
      <c r="AH13" s="17"/>
      <c r="AI13" s="17"/>
      <c r="AJ13" s="17"/>
      <c r="AK13" s="17"/>
      <c r="AL13" s="17"/>
      <c r="AM13" s="17"/>
      <c r="AN13" s="17"/>
      <c r="AO13" s="17"/>
      <c r="AP13" s="17"/>
      <c r="AQ13" s="17"/>
    </row>
    <row r="14" ht="17.45" customHeight="1">
      <c r="A14" t="s" s="13">
        <v>313</v>
      </c>
      <c r="B14" s="17"/>
      <c r="C14" s="29">
        <v>9</v>
      </c>
      <c r="D14" t="s" s="13">
        <v>299</v>
      </c>
      <c r="E14" t="s" s="13">
        <v>323</v>
      </c>
      <c r="F14" t="s" s="13">
        <v>260</v>
      </c>
      <c r="G14" s="29">
        <v>1</v>
      </c>
      <c r="H14" s="17"/>
      <c r="I14" s="17"/>
      <c r="J14" s="17"/>
      <c r="K14" s="17"/>
      <c r="L14" s="17"/>
      <c r="M14" s="36"/>
      <c r="N14" s="36"/>
      <c r="O14" s="36"/>
      <c r="P14" s="35">
        <v>1</v>
      </c>
      <c r="Q14" s="35">
        <v>24</v>
      </c>
      <c r="R14" s="36"/>
      <c r="S14" s="35">
        <v>1</v>
      </c>
      <c r="T14" s="36"/>
      <c r="U14" s="17"/>
      <c r="V14" s="17"/>
      <c r="W14" s="17"/>
      <c r="X14" t="s" s="13">
        <v>322</v>
      </c>
      <c r="Y14" s="113"/>
      <c r="Z14" s="108">
        <v>1</v>
      </c>
      <c r="AA14" s="105"/>
      <c r="AB14" s="108">
        <v>1</v>
      </c>
      <c r="AC14" s="115"/>
      <c r="AD14" t="s" s="13">
        <v>324</v>
      </c>
      <c r="AE14" s="17"/>
      <c r="AF14" s="17"/>
      <c r="AG14" s="17"/>
      <c r="AH14" s="17"/>
      <c r="AI14" s="17"/>
      <c r="AJ14" s="17"/>
      <c r="AK14" s="17"/>
      <c r="AL14" s="17"/>
      <c r="AM14" s="17"/>
      <c r="AN14" s="17"/>
      <c r="AO14" s="17"/>
      <c r="AP14" s="17"/>
      <c r="AQ14" s="17"/>
    </row>
    <row r="15" ht="17.45" customHeight="1">
      <c r="A15" t="s" s="13">
        <v>313</v>
      </c>
      <c r="B15" s="17"/>
      <c r="C15" s="29">
        <v>9</v>
      </c>
      <c r="D15" t="s" s="13">
        <v>299</v>
      </c>
      <c r="E15" t="s" s="13">
        <v>325</v>
      </c>
      <c r="F15" t="s" s="13">
        <v>326</v>
      </c>
      <c r="G15" s="29">
        <v>1</v>
      </c>
      <c r="H15" s="17"/>
      <c r="I15" s="17"/>
      <c r="J15" s="17"/>
      <c r="K15" s="17"/>
      <c r="L15" s="17"/>
      <c r="M15" s="36"/>
      <c r="N15" s="36"/>
      <c r="O15" s="36"/>
      <c r="P15" s="35">
        <v>1</v>
      </c>
      <c r="Q15" s="35">
        <v>27</v>
      </c>
      <c r="R15" s="36"/>
      <c r="S15" s="35">
        <v>1</v>
      </c>
      <c r="T15" s="36"/>
      <c r="U15" s="17"/>
      <c r="V15" s="17"/>
      <c r="W15" s="17"/>
      <c r="X15" t="s" s="13">
        <v>322</v>
      </c>
      <c r="Y15" s="113"/>
      <c r="Z15" s="108">
        <v>1</v>
      </c>
      <c r="AA15" s="105"/>
      <c r="AB15" s="108">
        <v>1</v>
      </c>
      <c r="AC15" s="114">
        <v>1</v>
      </c>
      <c r="AD15" s="17"/>
      <c r="AE15" s="17"/>
      <c r="AF15" s="17"/>
      <c r="AG15" s="17"/>
      <c r="AH15" s="17"/>
      <c r="AI15" s="17"/>
      <c r="AJ15" s="17"/>
      <c r="AK15" s="17"/>
      <c r="AL15" s="17"/>
      <c r="AM15" s="17"/>
      <c r="AN15" s="17"/>
      <c r="AO15" s="17"/>
      <c r="AP15" s="17"/>
      <c r="AQ15" s="17"/>
    </row>
    <row r="16" ht="17.45" customHeight="1">
      <c r="A16" t="s" s="13">
        <v>327</v>
      </c>
      <c r="B16" s="17"/>
      <c r="C16" s="29">
        <v>10</v>
      </c>
      <c r="D16" t="s" s="13">
        <v>299</v>
      </c>
      <c r="E16" t="s" s="13">
        <v>233</v>
      </c>
      <c r="F16" t="s" s="13">
        <v>328</v>
      </c>
      <c r="G16" s="17"/>
      <c r="H16" s="29">
        <v>1</v>
      </c>
      <c r="I16" s="17"/>
      <c r="J16" s="17"/>
      <c r="K16" s="29">
        <v>1</v>
      </c>
      <c r="L16" s="17"/>
      <c r="M16" s="36"/>
      <c r="N16" s="36"/>
      <c r="O16" s="36"/>
      <c r="P16" s="36"/>
      <c r="Q16" s="35">
        <v>62</v>
      </c>
      <c r="R16" s="36"/>
      <c r="S16" s="35">
        <v>1</v>
      </c>
      <c r="T16" s="116"/>
      <c r="U16" s="36"/>
      <c r="V16" s="36"/>
      <c r="W16" s="36"/>
      <c r="X16" t="s" s="13">
        <v>315</v>
      </c>
      <c r="Y16" s="113"/>
      <c r="Z16" s="108">
        <v>1</v>
      </c>
      <c r="AA16" s="108">
        <v>1</v>
      </c>
      <c r="AB16" s="105"/>
      <c r="AC16" s="114">
        <v>1</v>
      </c>
      <c r="AD16" s="17"/>
      <c r="AE16" s="17"/>
      <c r="AF16" s="17"/>
      <c r="AG16" s="17"/>
      <c r="AH16" s="17"/>
      <c r="AI16" s="17"/>
      <c r="AJ16" s="17"/>
      <c r="AK16" s="17"/>
      <c r="AL16" s="17"/>
      <c r="AM16" s="17"/>
      <c r="AN16" s="17"/>
      <c r="AO16" s="17"/>
      <c r="AP16" s="17"/>
      <c r="AQ16" s="17"/>
    </row>
    <row r="17" ht="17" customHeight="1">
      <c r="A17" t="s" s="13">
        <v>327</v>
      </c>
      <c r="B17" s="17"/>
      <c r="C17" s="29">
        <v>10</v>
      </c>
      <c r="D17" t="s" s="13">
        <v>299</v>
      </c>
      <c r="E17" t="s" s="13">
        <v>233</v>
      </c>
      <c r="F17" t="s" s="13">
        <v>329</v>
      </c>
      <c r="G17" s="29">
        <v>1</v>
      </c>
      <c r="H17" s="17"/>
      <c r="I17" s="17"/>
      <c r="J17" s="17"/>
      <c r="K17" s="17"/>
      <c r="L17" s="17"/>
      <c r="M17" s="36"/>
      <c r="N17" s="36"/>
      <c r="O17" t="s" s="47">
        <v>175</v>
      </c>
      <c r="P17" s="36"/>
      <c r="Q17" s="35">
        <v>56</v>
      </c>
      <c r="R17" s="36"/>
      <c r="S17" s="35">
        <v>1</v>
      </c>
      <c r="T17" s="36"/>
      <c r="U17" s="36"/>
      <c r="V17" s="36"/>
      <c r="W17" s="36"/>
      <c r="X17" t="s" s="13">
        <v>171</v>
      </c>
      <c r="Y17" s="113"/>
      <c r="Z17" s="105"/>
      <c r="AA17" s="105"/>
      <c r="AB17" s="105"/>
      <c r="AC17" s="114">
        <v>1</v>
      </c>
      <c r="AD17" s="17"/>
      <c r="AE17" s="17"/>
      <c r="AF17" s="17"/>
      <c r="AG17" s="17"/>
      <c r="AH17" s="17"/>
      <c r="AI17" s="17"/>
      <c r="AJ17" s="17"/>
      <c r="AK17" s="17"/>
      <c r="AL17" s="17"/>
      <c r="AM17" s="17"/>
      <c r="AN17" s="17"/>
      <c r="AO17" s="17"/>
      <c r="AP17" s="17"/>
      <c r="AQ17" s="17"/>
    </row>
    <row r="18" ht="17.45" customHeight="1">
      <c r="A18" t="s" s="13">
        <v>327</v>
      </c>
      <c r="B18" s="17"/>
      <c r="C18" s="29">
        <v>10</v>
      </c>
      <c r="D18" t="s" s="13">
        <v>299</v>
      </c>
      <c r="E18" t="s" s="13">
        <v>330</v>
      </c>
      <c r="F18" t="s" s="13">
        <v>331</v>
      </c>
      <c r="G18" s="29">
        <v>1</v>
      </c>
      <c r="H18" s="17"/>
      <c r="I18" s="17"/>
      <c r="J18" s="17"/>
      <c r="K18" s="17"/>
      <c r="L18" s="17"/>
      <c r="M18" s="36"/>
      <c r="N18" s="36"/>
      <c r="O18" s="36"/>
      <c r="P18" s="35">
        <v>1</v>
      </c>
      <c r="Q18" s="35">
        <v>22</v>
      </c>
      <c r="R18" s="36"/>
      <c r="S18" s="35">
        <v>1</v>
      </c>
      <c r="T18" s="36"/>
      <c r="U18" s="36"/>
      <c r="V18" s="36"/>
      <c r="W18" s="36"/>
      <c r="X18" t="s" s="13">
        <v>159</v>
      </c>
      <c r="Y18" s="113"/>
      <c r="Z18" s="108">
        <v>1</v>
      </c>
      <c r="AA18" s="105"/>
      <c r="AB18" s="108">
        <v>1</v>
      </c>
      <c r="AC18" s="115"/>
      <c r="AD18" t="s" s="13">
        <v>324</v>
      </c>
      <c r="AE18" s="17"/>
      <c r="AF18" s="17"/>
      <c r="AG18" s="17"/>
      <c r="AH18" s="17"/>
      <c r="AI18" s="17"/>
      <c r="AJ18" s="17"/>
      <c r="AK18" s="17"/>
      <c r="AL18" s="17"/>
      <c r="AM18" s="17"/>
      <c r="AN18" s="17"/>
      <c r="AO18" s="17"/>
      <c r="AP18" s="17"/>
      <c r="AQ18" s="17"/>
    </row>
    <row r="19" ht="17.45" customHeight="1">
      <c r="A19" t="s" s="13">
        <v>327</v>
      </c>
      <c r="B19" s="17"/>
      <c r="C19" s="29">
        <v>10</v>
      </c>
      <c r="D19" t="s" s="13">
        <v>299</v>
      </c>
      <c r="E19" t="s" s="13">
        <v>332</v>
      </c>
      <c r="F19" t="s" s="13">
        <v>333</v>
      </c>
      <c r="G19" s="29">
        <v>1</v>
      </c>
      <c r="H19" s="17"/>
      <c r="I19" s="17"/>
      <c r="J19" s="17"/>
      <c r="K19" s="17"/>
      <c r="L19" s="36"/>
      <c r="M19" s="36"/>
      <c r="N19" s="36"/>
      <c r="O19" s="36"/>
      <c r="P19" s="35">
        <v>1</v>
      </c>
      <c r="Q19" s="35">
        <v>25</v>
      </c>
      <c r="R19" s="36"/>
      <c r="S19" s="35">
        <v>1</v>
      </c>
      <c r="T19" s="117"/>
      <c r="U19" s="36"/>
      <c r="V19" s="36"/>
      <c r="W19" s="36"/>
      <c r="X19" t="s" s="13">
        <v>162</v>
      </c>
      <c r="Y19" s="113"/>
      <c r="Z19" s="108">
        <v>1</v>
      </c>
      <c r="AA19" s="105"/>
      <c r="AB19" s="108">
        <v>1</v>
      </c>
      <c r="AC19" s="114">
        <v>1</v>
      </c>
      <c r="AD19" s="17"/>
      <c r="AE19" s="17"/>
      <c r="AF19" s="17"/>
      <c r="AG19" s="17"/>
      <c r="AH19" s="17"/>
      <c r="AI19" s="17"/>
      <c r="AJ19" s="17"/>
      <c r="AK19" s="17"/>
      <c r="AL19" s="17"/>
      <c r="AM19" s="17"/>
      <c r="AN19" s="17"/>
      <c r="AO19" s="17"/>
      <c r="AP19" s="17"/>
      <c r="AQ19" s="17"/>
    </row>
    <row r="20" ht="17.45" customHeight="1">
      <c r="A20" t="s" s="13">
        <v>334</v>
      </c>
      <c r="B20" t="s" s="13">
        <v>335</v>
      </c>
      <c r="C20" s="17"/>
      <c r="D20" t="s" s="13">
        <v>299</v>
      </c>
      <c r="E20" t="s" s="13">
        <v>336</v>
      </c>
      <c r="F20" t="s" s="13">
        <v>68</v>
      </c>
      <c r="G20" s="17"/>
      <c r="H20" s="29">
        <v>1</v>
      </c>
      <c r="I20" s="17"/>
      <c r="J20" s="17"/>
      <c r="K20" s="29">
        <v>1</v>
      </c>
      <c r="L20" s="36"/>
      <c r="M20" s="36"/>
      <c r="N20" s="36"/>
      <c r="O20" s="36"/>
      <c r="P20" s="36"/>
      <c r="Q20" s="35">
        <v>61</v>
      </c>
      <c r="R20" s="36"/>
      <c r="S20" s="36"/>
      <c r="T20" s="35">
        <v>1</v>
      </c>
      <c r="U20" s="36"/>
      <c r="V20" s="36"/>
      <c r="W20" s="36"/>
      <c r="X20" t="s" s="13">
        <v>337</v>
      </c>
      <c r="Y20" s="113"/>
      <c r="Z20" s="108">
        <v>1</v>
      </c>
      <c r="AA20" s="108">
        <v>1</v>
      </c>
      <c r="AB20" s="105"/>
      <c r="AC20" s="114">
        <v>1</v>
      </c>
      <c r="AD20" s="17"/>
      <c r="AE20" t="s" s="13">
        <v>338</v>
      </c>
      <c r="AF20" s="17"/>
      <c r="AG20" s="17"/>
      <c r="AH20" s="17"/>
      <c r="AI20" s="17"/>
      <c r="AJ20" s="17"/>
      <c r="AK20" s="17"/>
      <c r="AL20" s="17"/>
      <c r="AM20" s="17"/>
      <c r="AN20" s="17"/>
      <c r="AO20" s="17"/>
      <c r="AP20" s="17"/>
      <c r="AQ20" s="17"/>
    </row>
    <row r="21" ht="17.45" customHeight="1">
      <c r="A21" t="s" s="13">
        <v>334</v>
      </c>
      <c r="B21" t="s" s="13">
        <v>335</v>
      </c>
      <c r="C21" s="17"/>
      <c r="D21" t="s" s="13">
        <v>299</v>
      </c>
      <c r="E21" t="s" s="13">
        <v>336</v>
      </c>
      <c r="F21" t="s" s="13">
        <v>339</v>
      </c>
      <c r="G21" s="17"/>
      <c r="H21" s="29">
        <v>1</v>
      </c>
      <c r="I21" s="17"/>
      <c r="J21" s="17"/>
      <c r="K21" s="17"/>
      <c r="L21" s="17"/>
      <c r="M21" s="36"/>
      <c r="N21" s="35">
        <v>1</v>
      </c>
      <c r="O21" s="36"/>
      <c r="P21" s="36"/>
      <c r="Q21" s="35">
        <v>29</v>
      </c>
      <c r="R21" s="36"/>
      <c r="S21" s="35">
        <v>1</v>
      </c>
      <c r="T21" s="17"/>
      <c r="U21" s="17"/>
      <c r="V21" s="17"/>
      <c r="W21" s="17"/>
      <c r="X21" t="s" s="13">
        <v>337</v>
      </c>
      <c r="Y21" s="113"/>
      <c r="Z21" s="108">
        <v>1</v>
      </c>
      <c r="AA21" s="108">
        <v>1</v>
      </c>
      <c r="AB21" s="105"/>
      <c r="AC21" s="114">
        <v>1</v>
      </c>
      <c r="AD21" s="17"/>
      <c r="AE21" s="17"/>
      <c r="AF21" s="17"/>
      <c r="AG21" s="17"/>
      <c r="AH21" s="17"/>
      <c r="AI21" s="17"/>
      <c r="AJ21" s="17"/>
      <c r="AK21" s="17"/>
      <c r="AL21" s="17"/>
      <c r="AM21" s="17"/>
      <c r="AN21" s="17"/>
      <c r="AO21" s="17"/>
      <c r="AP21" s="17"/>
      <c r="AQ21" s="17"/>
    </row>
    <row r="22" ht="17.45" customHeight="1">
      <c r="A22" t="s" s="13">
        <v>334</v>
      </c>
      <c r="B22" t="s" s="13">
        <v>335</v>
      </c>
      <c r="C22" s="17"/>
      <c r="D22" t="s" s="13">
        <v>299</v>
      </c>
      <c r="E22" t="s" s="13">
        <v>336</v>
      </c>
      <c r="F22" t="s" s="13">
        <v>340</v>
      </c>
      <c r="G22" s="29">
        <v>1</v>
      </c>
      <c r="H22" s="17"/>
      <c r="I22" s="17"/>
      <c r="J22" s="17"/>
      <c r="K22" s="17"/>
      <c r="L22" s="17"/>
      <c r="M22" s="35">
        <v>1</v>
      </c>
      <c r="N22" s="36"/>
      <c r="O22" s="36"/>
      <c r="P22" s="36"/>
      <c r="Q22" s="35">
        <v>28</v>
      </c>
      <c r="R22" s="36"/>
      <c r="S22" s="35">
        <v>1</v>
      </c>
      <c r="T22" s="17"/>
      <c r="U22" s="17"/>
      <c r="V22" s="17"/>
      <c r="W22" s="17"/>
      <c r="X22" s="17"/>
      <c r="Y22" s="113"/>
      <c r="Z22" s="105"/>
      <c r="AA22" s="105"/>
      <c r="AB22" s="105"/>
      <c r="AC22" s="114">
        <v>1</v>
      </c>
      <c r="AD22" s="17"/>
      <c r="AE22" s="17"/>
      <c r="AF22" s="17"/>
      <c r="AG22" s="17"/>
      <c r="AH22" s="17"/>
      <c r="AI22" s="17"/>
      <c r="AJ22" s="17"/>
      <c r="AK22" s="17"/>
      <c r="AL22" s="17"/>
      <c r="AM22" s="17"/>
      <c r="AN22" s="17"/>
      <c r="AO22" s="17"/>
      <c r="AP22" s="17"/>
      <c r="AQ22" s="17"/>
    </row>
    <row r="23" ht="17.45" customHeight="1">
      <c r="A23" t="s" s="13">
        <v>334</v>
      </c>
      <c r="B23" t="s" s="13">
        <v>335</v>
      </c>
      <c r="C23" s="17"/>
      <c r="D23" t="s" s="13">
        <v>299</v>
      </c>
      <c r="E23" t="s" s="13">
        <v>336</v>
      </c>
      <c r="F23" t="s" s="13">
        <v>341</v>
      </c>
      <c r="G23" s="29">
        <v>1</v>
      </c>
      <c r="H23" s="17"/>
      <c r="I23" s="17"/>
      <c r="J23" s="17"/>
      <c r="K23" s="17"/>
      <c r="L23" s="17"/>
      <c r="M23" s="35">
        <v>1</v>
      </c>
      <c r="N23" s="36"/>
      <c r="O23" s="36"/>
      <c r="P23" s="36"/>
      <c r="Q23" s="35">
        <v>29</v>
      </c>
      <c r="R23" s="36"/>
      <c r="S23" s="35">
        <v>1</v>
      </c>
      <c r="T23" s="17"/>
      <c r="U23" s="17"/>
      <c r="V23" s="17"/>
      <c r="W23" s="17"/>
      <c r="X23" s="17"/>
      <c r="Y23" s="113"/>
      <c r="Z23" s="105"/>
      <c r="AA23" s="105"/>
      <c r="AB23" s="105"/>
      <c r="AC23" s="114">
        <v>1</v>
      </c>
      <c r="AD23" s="17"/>
      <c r="AE23" s="17"/>
      <c r="AF23" s="17"/>
      <c r="AG23" s="17"/>
      <c r="AH23" s="17"/>
      <c r="AI23" s="17"/>
      <c r="AJ23" s="17"/>
      <c r="AK23" s="17"/>
      <c r="AL23" s="17"/>
      <c r="AM23" s="17"/>
      <c r="AN23" s="17"/>
      <c r="AO23" s="17"/>
      <c r="AP23" s="17"/>
      <c r="AQ23" s="17"/>
    </row>
    <row r="24" ht="17.45" customHeight="1">
      <c r="A24" t="s" s="13">
        <v>334</v>
      </c>
      <c r="B24" t="s" s="13">
        <v>335</v>
      </c>
      <c r="C24" s="17"/>
      <c r="D24" t="s" s="13">
        <v>299</v>
      </c>
      <c r="E24" t="s" s="13">
        <v>336</v>
      </c>
      <c r="F24" t="s" s="13">
        <v>342</v>
      </c>
      <c r="G24" s="17"/>
      <c r="H24" s="29">
        <v>1</v>
      </c>
      <c r="I24" s="17"/>
      <c r="J24" s="17"/>
      <c r="K24" s="17"/>
      <c r="L24" s="17"/>
      <c r="M24" s="36"/>
      <c r="N24" s="35">
        <v>1</v>
      </c>
      <c r="O24" s="36"/>
      <c r="P24" s="36"/>
      <c r="Q24" s="35">
        <v>25</v>
      </c>
      <c r="R24" s="36"/>
      <c r="S24" s="35">
        <v>1</v>
      </c>
      <c r="T24" s="17"/>
      <c r="U24" s="17"/>
      <c r="V24" s="17"/>
      <c r="W24" s="17"/>
      <c r="X24" t="s" s="13">
        <v>337</v>
      </c>
      <c r="Y24" s="113"/>
      <c r="Z24" s="108">
        <v>1</v>
      </c>
      <c r="AA24" s="108">
        <v>1</v>
      </c>
      <c r="AB24" s="105"/>
      <c r="AC24" s="114">
        <v>1</v>
      </c>
      <c r="AD24" s="17"/>
      <c r="AE24" s="17"/>
      <c r="AF24" s="17"/>
      <c r="AG24" s="17"/>
      <c r="AH24" s="17"/>
      <c r="AI24" s="17"/>
      <c r="AJ24" s="17"/>
      <c r="AK24" s="17"/>
      <c r="AL24" s="17"/>
      <c r="AM24" s="17"/>
      <c r="AN24" s="17"/>
      <c r="AO24" s="17"/>
      <c r="AP24" s="17"/>
      <c r="AQ24" s="17"/>
    </row>
    <row r="25" ht="17.45" customHeight="1">
      <c r="A25" t="s" s="13">
        <v>334</v>
      </c>
      <c r="B25" t="s" s="13">
        <v>335</v>
      </c>
      <c r="C25" s="17"/>
      <c r="D25" t="s" s="13">
        <v>299</v>
      </c>
      <c r="E25" t="s" s="13">
        <v>336</v>
      </c>
      <c r="F25" t="s" s="13">
        <v>343</v>
      </c>
      <c r="G25" s="17"/>
      <c r="H25" s="29">
        <v>1</v>
      </c>
      <c r="I25" s="17"/>
      <c r="J25" s="17"/>
      <c r="K25" s="17"/>
      <c r="L25" s="17"/>
      <c r="M25" s="36"/>
      <c r="N25" s="35">
        <v>1</v>
      </c>
      <c r="O25" s="36"/>
      <c r="P25" s="36"/>
      <c r="Q25" s="35">
        <v>24</v>
      </c>
      <c r="R25" s="36"/>
      <c r="S25" s="35">
        <v>1</v>
      </c>
      <c r="T25" s="17"/>
      <c r="U25" s="17"/>
      <c r="V25" s="17"/>
      <c r="W25" s="17"/>
      <c r="X25" t="s" s="13">
        <v>344</v>
      </c>
      <c r="Y25" t="s" s="118">
        <v>345</v>
      </c>
      <c r="Z25" s="108">
        <v>1</v>
      </c>
      <c r="AA25" s="105"/>
      <c r="AB25" s="108">
        <v>1</v>
      </c>
      <c r="AC25" s="114">
        <v>1</v>
      </c>
      <c r="AD25" s="17"/>
      <c r="AE25" s="17"/>
      <c r="AF25" s="17"/>
      <c r="AG25" s="17"/>
      <c r="AH25" s="17"/>
      <c r="AI25" s="17"/>
      <c r="AJ25" s="17"/>
      <c r="AK25" s="17"/>
      <c r="AL25" s="17"/>
      <c r="AM25" s="17"/>
      <c r="AN25" s="17"/>
      <c r="AO25" s="17"/>
      <c r="AP25" s="17"/>
      <c r="AQ25" s="17"/>
    </row>
    <row r="26" ht="17.45" customHeight="1">
      <c r="A26" t="s" s="13">
        <v>334</v>
      </c>
      <c r="B26" t="s" s="13">
        <v>335</v>
      </c>
      <c r="C26" s="17"/>
      <c r="D26" t="s" s="13">
        <v>299</v>
      </c>
      <c r="E26" t="s" s="13">
        <v>346</v>
      </c>
      <c r="F26" t="s" s="13">
        <v>326</v>
      </c>
      <c r="G26" s="29">
        <v>1</v>
      </c>
      <c r="H26" s="17"/>
      <c r="I26" s="17"/>
      <c r="J26" s="17"/>
      <c r="K26" s="17"/>
      <c r="L26" s="17"/>
      <c r="M26" s="36"/>
      <c r="N26" s="36"/>
      <c r="O26" s="36"/>
      <c r="P26" s="35">
        <v>1</v>
      </c>
      <c r="Q26" s="35">
        <v>42</v>
      </c>
      <c r="R26" s="36"/>
      <c r="S26" s="35">
        <v>1</v>
      </c>
      <c r="T26" s="116"/>
      <c r="U26" s="17"/>
      <c r="V26" s="17"/>
      <c r="W26" s="17"/>
      <c r="X26" t="s" s="13">
        <v>347</v>
      </c>
      <c r="Y26" s="113"/>
      <c r="Z26" s="108">
        <v>1</v>
      </c>
      <c r="AA26" s="105"/>
      <c r="AB26" s="108">
        <v>1</v>
      </c>
      <c r="AC26" s="115"/>
      <c r="AD26" t="s" s="13">
        <v>348</v>
      </c>
      <c r="AE26" s="17"/>
      <c r="AF26" s="17"/>
      <c r="AG26" s="17"/>
      <c r="AH26" s="17"/>
      <c r="AI26" s="17"/>
      <c r="AJ26" s="17"/>
      <c r="AK26" s="17"/>
      <c r="AL26" s="17"/>
      <c r="AM26" s="17"/>
      <c r="AN26" s="17"/>
      <c r="AO26" s="17"/>
      <c r="AP26" s="17"/>
      <c r="AQ26" s="17"/>
    </row>
    <row r="27" ht="17.45" customHeight="1">
      <c r="A27" t="s" s="13">
        <v>334</v>
      </c>
      <c r="B27" t="s" s="13">
        <v>335</v>
      </c>
      <c r="C27" s="17"/>
      <c r="D27" t="s" s="13">
        <v>299</v>
      </c>
      <c r="E27" t="s" s="13">
        <v>349</v>
      </c>
      <c r="F27" t="s" s="13">
        <v>350</v>
      </c>
      <c r="G27" s="29">
        <v>1</v>
      </c>
      <c r="H27" s="17"/>
      <c r="I27" s="17"/>
      <c r="J27" s="17"/>
      <c r="K27" s="17"/>
      <c r="L27" s="17"/>
      <c r="M27" s="36"/>
      <c r="N27" s="36"/>
      <c r="O27" s="36"/>
      <c r="P27" s="35">
        <v>1</v>
      </c>
      <c r="Q27" s="35">
        <v>45</v>
      </c>
      <c r="R27" s="36"/>
      <c r="S27" s="35">
        <v>1</v>
      </c>
      <c r="T27" s="17"/>
      <c r="U27" s="17"/>
      <c r="V27" s="17"/>
      <c r="W27" s="17"/>
      <c r="X27" t="s" s="13">
        <v>159</v>
      </c>
      <c r="Y27" s="113"/>
      <c r="Z27" s="108">
        <v>1</v>
      </c>
      <c r="AA27" s="105"/>
      <c r="AB27" s="108">
        <v>1</v>
      </c>
      <c r="AC27" s="115"/>
      <c r="AD27" t="s" s="13">
        <v>351</v>
      </c>
      <c r="AE27" s="17"/>
      <c r="AF27" s="17"/>
      <c r="AG27" s="17"/>
      <c r="AH27" s="17"/>
      <c r="AI27" s="17"/>
      <c r="AJ27" s="17"/>
      <c r="AK27" s="17"/>
      <c r="AL27" s="17"/>
      <c r="AM27" s="17"/>
      <c r="AN27" s="17"/>
      <c r="AO27" s="17"/>
      <c r="AP27" s="17"/>
      <c r="AQ27" s="17"/>
    </row>
    <row r="28" ht="17.45" customHeight="1">
      <c r="A28" t="s" s="13">
        <v>334</v>
      </c>
      <c r="B28" t="s" s="13">
        <v>335</v>
      </c>
      <c r="C28" s="17"/>
      <c r="D28" t="s" s="13">
        <v>299</v>
      </c>
      <c r="E28" t="s" s="13">
        <v>352</v>
      </c>
      <c r="F28" t="s" s="13">
        <v>202</v>
      </c>
      <c r="G28" s="29">
        <v>1</v>
      </c>
      <c r="H28" s="17"/>
      <c r="I28" s="17"/>
      <c r="J28" s="17"/>
      <c r="K28" s="17"/>
      <c r="L28" s="17"/>
      <c r="M28" s="36"/>
      <c r="N28" s="36"/>
      <c r="O28" s="36"/>
      <c r="P28" s="35">
        <v>1</v>
      </c>
      <c r="Q28" s="35">
        <v>31</v>
      </c>
      <c r="R28" s="36"/>
      <c r="S28" s="35">
        <v>1</v>
      </c>
      <c r="T28" s="17"/>
      <c r="U28" s="17"/>
      <c r="V28" s="17"/>
      <c r="W28" s="17"/>
      <c r="X28" t="s" s="13">
        <v>165</v>
      </c>
      <c r="Y28" s="113"/>
      <c r="Z28" s="108">
        <v>1</v>
      </c>
      <c r="AA28" s="105"/>
      <c r="AB28" s="108">
        <v>1</v>
      </c>
      <c r="AC28" s="114">
        <v>1</v>
      </c>
      <c r="AD28" s="17"/>
      <c r="AE28" s="17"/>
      <c r="AF28" s="17"/>
      <c r="AG28" s="17"/>
      <c r="AH28" s="17"/>
      <c r="AI28" s="17"/>
      <c r="AJ28" s="17"/>
      <c r="AK28" s="17"/>
      <c r="AL28" s="17"/>
      <c r="AM28" s="17"/>
      <c r="AN28" s="17"/>
      <c r="AO28" s="17"/>
      <c r="AP28" s="17"/>
      <c r="AQ28" s="17"/>
    </row>
    <row r="29" ht="17.45" customHeight="1">
      <c r="A29" t="s" s="13">
        <v>334</v>
      </c>
      <c r="B29" t="s" s="13">
        <v>335</v>
      </c>
      <c r="C29" s="17"/>
      <c r="D29" t="s" s="13">
        <v>299</v>
      </c>
      <c r="E29" t="s" s="13">
        <v>353</v>
      </c>
      <c r="F29" t="s" s="13">
        <v>326</v>
      </c>
      <c r="G29" s="29">
        <v>1</v>
      </c>
      <c r="H29" s="17"/>
      <c r="I29" s="17"/>
      <c r="J29" s="17"/>
      <c r="K29" s="17"/>
      <c r="L29" s="17"/>
      <c r="M29" s="36"/>
      <c r="N29" s="36"/>
      <c r="O29" s="36"/>
      <c r="P29" s="35">
        <v>1</v>
      </c>
      <c r="Q29" s="35">
        <v>20</v>
      </c>
      <c r="R29" s="36"/>
      <c r="S29" s="35">
        <v>1</v>
      </c>
      <c r="T29" s="17"/>
      <c r="U29" s="36"/>
      <c r="V29" s="36"/>
      <c r="W29" s="36"/>
      <c r="X29" t="s" s="13">
        <v>162</v>
      </c>
      <c r="Y29" s="113"/>
      <c r="Z29" s="108">
        <v>1</v>
      </c>
      <c r="AA29" s="105"/>
      <c r="AB29" s="108">
        <v>1</v>
      </c>
      <c r="AC29" s="114">
        <v>1</v>
      </c>
      <c r="AD29" s="17"/>
      <c r="AE29" s="17"/>
      <c r="AF29" s="17"/>
      <c r="AG29" s="17"/>
      <c r="AH29" s="17"/>
      <c r="AI29" s="17"/>
      <c r="AJ29" s="17"/>
      <c r="AK29" s="17"/>
      <c r="AL29" s="17"/>
      <c r="AM29" s="17"/>
      <c r="AN29" s="17"/>
      <c r="AO29" s="17"/>
      <c r="AP29" s="17"/>
      <c r="AQ29" s="17"/>
    </row>
    <row r="30" ht="17.45" customHeight="1">
      <c r="A30" t="s" s="13">
        <v>334</v>
      </c>
      <c r="B30" t="s" s="13">
        <v>335</v>
      </c>
      <c r="C30" s="17"/>
      <c r="D30" t="s" s="13">
        <v>299</v>
      </c>
      <c r="E30" t="s" s="13">
        <v>354</v>
      </c>
      <c r="F30" t="s" s="13">
        <v>51</v>
      </c>
      <c r="G30" s="29">
        <v>1</v>
      </c>
      <c r="H30" s="17"/>
      <c r="I30" s="17"/>
      <c r="J30" s="17"/>
      <c r="K30" s="17"/>
      <c r="L30" s="17"/>
      <c r="M30" s="36"/>
      <c r="N30" s="36"/>
      <c r="O30" s="36"/>
      <c r="P30" s="35">
        <v>1</v>
      </c>
      <c r="Q30" s="35">
        <v>16</v>
      </c>
      <c r="R30" s="36"/>
      <c r="S30" s="35">
        <v>1</v>
      </c>
      <c r="T30" s="17"/>
      <c r="U30" s="36"/>
      <c r="V30" s="36"/>
      <c r="W30" s="36"/>
      <c r="X30" t="s" s="13">
        <v>355</v>
      </c>
      <c r="Y30" s="113"/>
      <c r="Z30" s="108">
        <v>1</v>
      </c>
      <c r="AA30" s="105"/>
      <c r="AB30" s="108">
        <v>1</v>
      </c>
      <c r="AC30" s="115"/>
      <c r="AD30" t="s" s="13">
        <v>356</v>
      </c>
      <c r="AE30" s="17"/>
      <c r="AF30" s="17"/>
      <c r="AG30" s="17"/>
      <c r="AH30" s="17"/>
      <c r="AI30" s="17"/>
      <c r="AJ30" s="17"/>
      <c r="AK30" s="17"/>
      <c r="AL30" s="17"/>
      <c r="AM30" s="17"/>
      <c r="AN30" s="17"/>
      <c r="AO30" s="17"/>
      <c r="AP30" s="17"/>
      <c r="AQ30" s="17"/>
    </row>
    <row r="31" ht="17" customHeight="1">
      <c r="A31" t="s" s="13">
        <v>285</v>
      </c>
      <c r="B31" s="29">
        <v>4</v>
      </c>
      <c r="C31" s="17"/>
      <c r="D31" s="17"/>
      <c r="E31" s="29">
        <v>17</v>
      </c>
      <c r="F31" s="29">
        <v>28</v>
      </c>
      <c r="G31" s="29">
        <f>SUM(G3:G30)</f>
        <v>19</v>
      </c>
      <c r="H31" s="29">
        <f>SUM(H3:H30)</f>
        <v>9</v>
      </c>
      <c r="I31" s="29">
        <f>SUM(I3:I30)</f>
        <v>0</v>
      </c>
      <c r="J31" s="29">
        <f>SUM(J3:J30)</f>
        <v>0</v>
      </c>
      <c r="K31" s="29">
        <f>SUM(K3:K30)</f>
        <v>4</v>
      </c>
      <c r="L31" s="29">
        <f>SUM(L3:L30)</f>
        <v>2</v>
      </c>
      <c r="M31" s="29">
        <f>SUM(M3:M30)</f>
        <v>3</v>
      </c>
      <c r="N31" s="29">
        <f>SUM(N3:N30)</f>
        <v>5</v>
      </c>
      <c r="O31" s="29">
        <v>1</v>
      </c>
      <c r="P31" s="29">
        <f>SUM(P3:P30)</f>
        <v>13</v>
      </c>
      <c r="Q31" s="29">
        <f>SUM(Q3:Q30)</f>
        <v>1032</v>
      </c>
      <c r="R31" s="29">
        <f>SUM(R3:R30)</f>
        <v>4</v>
      </c>
      <c r="S31" s="29">
        <f>SUM(S3:S30)</f>
        <v>23</v>
      </c>
      <c r="T31" s="29">
        <f>SUM(T3:T30)</f>
        <v>1</v>
      </c>
      <c r="U31" s="29">
        <f>SUM(U3:U30)</f>
        <v>71</v>
      </c>
      <c r="V31" s="29">
        <f>SUM(V3:V30)</f>
        <v>6</v>
      </c>
      <c r="W31" s="29">
        <f>SUM(W3:W30)</f>
        <v>5</v>
      </c>
      <c r="X31" s="17"/>
      <c r="Y31" s="17"/>
      <c r="Z31" s="119">
        <f>AB31+AA31</f>
        <v>23</v>
      </c>
      <c r="AA31" s="119">
        <f>SUM(AA3:AA30)</f>
        <v>6</v>
      </c>
      <c r="AB31" s="119">
        <f>SUM(AB3:AB30)</f>
        <v>17</v>
      </c>
      <c r="AC31" s="29">
        <f>SUM(AC3:AC30)</f>
        <v>19</v>
      </c>
      <c r="AD31" s="29">
        <f>F31-AC31</f>
        <v>9</v>
      </c>
      <c r="AE31" s="17"/>
      <c r="AF31" s="17"/>
      <c r="AG31" s="17"/>
      <c r="AH31" s="17"/>
      <c r="AI31" s="17"/>
      <c r="AJ31" s="17"/>
      <c r="AK31" s="17"/>
      <c r="AL31" s="17"/>
      <c r="AM31" s="17"/>
      <c r="AN31" s="17"/>
      <c r="AO31" s="17"/>
      <c r="AP31" s="17"/>
      <c r="AQ31" s="17"/>
    </row>
    <row r="32" ht="17" customHeight="1">
      <c r="A32" s="17"/>
      <c r="B32" s="17"/>
      <c r="C32" s="17"/>
      <c r="D32" s="17"/>
      <c r="E32" s="17"/>
      <c r="F32" s="17"/>
      <c r="G32" s="17"/>
      <c r="H32" s="17"/>
      <c r="I32" s="17"/>
      <c r="J32" s="17"/>
      <c r="K32" s="17"/>
      <c r="L32" s="17"/>
      <c r="M32" s="17"/>
      <c r="N32" s="17"/>
      <c r="O32" s="17"/>
      <c r="P32" s="17"/>
      <c r="Q32" s="78"/>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row>
    <row r="33" ht="51" customHeight="1">
      <c r="A33" t="s" s="120">
        <v>110</v>
      </c>
      <c r="B33" t="s" s="121">
        <v>111</v>
      </c>
      <c r="C33" t="s" s="121">
        <v>112</v>
      </c>
      <c r="D33" t="s" s="121">
        <v>113</v>
      </c>
      <c r="E33" t="s" s="121">
        <v>114</v>
      </c>
      <c r="F33" t="s" s="121">
        <v>115</v>
      </c>
      <c r="G33" t="s" s="121">
        <v>116</v>
      </c>
      <c r="H33" t="s" s="121">
        <v>35</v>
      </c>
      <c r="I33" t="s" s="121">
        <v>36</v>
      </c>
      <c r="J33" t="s" s="121">
        <v>117</v>
      </c>
      <c r="K33" t="s" s="121">
        <v>118</v>
      </c>
      <c r="L33" s="17"/>
      <c r="M33" s="17"/>
      <c r="N33" s="17"/>
      <c r="O33" s="17"/>
      <c r="P33" s="17"/>
      <c r="Q33" s="78"/>
      <c r="R33" s="79"/>
      <c r="S33" s="79"/>
      <c r="T33" s="79"/>
      <c r="U33" s="17"/>
      <c r="V33" s="17"/>
      <c r="W33" s="17"/>
      <c r="X33" s="17"/>
      <c r="Y33" s="17"/>
      <c r="Z33" s="17"/>
      <c r="AA33" s="17"/>
      <c r="AB33" s="17"/>
      <c r="AC33" s="17"/>
      <c r="AD33" s="17"/>
      <c r="AE33" s="17"/>
      <c r="AF33" s="17"/>
      <c r="AG33" s="17"/>
      <c r="AH33" s="17"/>
      <c r="AI33" s="17"/>
      <c r="AJ33" s="17"/>
      <c r="AK33" s="17"/>
      <c r="AL33" s="17"/>
      <c r="AM33" s="17"/>
      <c r="AN33" s="17"/>
      <c r="AO33" s="17"/>
      <c r="AP33" s="17"/>
      <c r="AQ33" s="17"/>
    </row>
    <row r="34" ht="17" customHeight="1">
      <c r="A34" s="29">
        <v>4</v>
      </c>
      <c r="B34" s="29">
        <v>28</v>
      </c>
      <c r="C34" s="29">
        <v>17</v>
      </c>
      <c r="D34" s="29">
        <v>13</v>
      </c>
      <c r="E34" s="29">
        <v>4</v>
      </c>
      <c r="F34" s="29">
        <v>23</v>
      </c>
      <c r="G34" s="29">
        <v>1</v>
      </c>
      <c r="H34" s="29">
        <v>6</v>
      </c>
      <c r="I34" s="29">
        <v>17</v>
      </c>
      <c r="J34" s="29">
        <v>19</v>
      </c>
      <c r="K34" s="29">
        <f>B34-J34</f>
        <v>9</v>
      </c>
      <c r="L34" s="17"/>
      <c r="M34" s="17"/>
      <c r="N34" s="17"/>
      <c r="O34" s="17"/>
      <c r="P34" s="17"/>
      <c r="Q34" s="17"/>
      <c r="R34" s="36"/>
      <c r="S34" s="36"/>
      <c r="T34" s="116"/>
      <c r="U34" s="17"/>
      <c r="V34" s="17"/>
      <c r="W34" s="17"/>
      <c r="X34" s="17"/>
      <c r="Y34" s="17"/>
      <c r="Z34" s="17"/>
      <c r="AA34" s="17"/>
      <c r="AB34" s="17"/>
      <c r="AC34" s="17"/>
      <c r="AD34" s="17"/>
      <c r="AE34" s="17"/>
      <c r="AF34" s="17"/>
      <c r="AG34" s="17"/>
      <c r="AH34" s="17"/>
      <c r="AI34" s="17"/>
      <c r="AJ34" s="17"/>
      <c r="AK34" s="17"/>
      <c r="AL34" s="17"/>
      <c r="AM34" s="17"/>
      <c r="AN34" s="17"/>
      <c r="AO34" s="17"/>
      <c r="AP34" s="17"/>
      <c r="AQ34" s="17"/>
    </row>
    <row r="35" ht="17" customHeight="1">
      <c r="A35" s="17"/>
      <c r="B35" s="17"/>
      <c r="C35" s="17"/>
      <c r="D35" s="17"/>
      <c r="E35" s="17"/>
      <c r="F35" s="17"/>
      <c r="G35" s="17"/>
      <c r="H35" s="17"/>
      <c r="I35" s="17"/>
      <c r="J35" s="17"/>
      <c r="K35" s="17"/>
      <c r="L35" s="17"/>
      <c r="M35" s="17"/>
      <c r="N35" s="17"/>
      <c r="O35" s="17"/>
      <c r="P35" s="17"/>
      <c r="Q35" s="17"/>
      <c r="R35" s="79"/>
      <c r="S35" s="79"/>
      <c r="T35" s="79"/>
      <c r="U35" s="17"/>
      <c r="V35" s="17"/>
      <c r="W35" s="17"/>
      <c r="X35" s="17"/>
      <c r="Y35" s="17"/>
      <c r="Z35" s="17"/>
      <c r="AA35" s="17"/>
      <c r="AB35" s="17"/>
      <c r="AC35" s="83"/>
      <c r="AD35" s="83"/>
      <c r="AE35" s="17"/>
      <c r="AF35" s="17"/>
      <c r="AG35" s="17"/>
      <c r="AH35" s="17"/>
      <c r="AI35" s="17"/>
      <c r="AJ35" s="17"/>
      <c r="AK35" s="17"/>
      <c r="AL35" s="17"/>
      <c r="AM35" s="17"/>
      <c r="AN35" s="17"/>
      <c r="AO35" s="17"/>
      <c r="AP35" s="17"/>
      <c r="AQ35" s="17"/>
    </row>
    <row r="36" ht="17" customHeight="1">
      <c r="A36" s="17"/>
      <c r="B36" s="17"/>
      <c r="C36" s="17"/>
      <c r="D36" s="17"/>
      <c r="E36" s="17"/>
      <c r="F36" s="17"/>
      <c r="G36" s="17"/>
      <c r="H36" s="17"/>
      <c r="I36" s="17"/>
      <c r="J36" s="17"/>
      <c r="K36" s="17"/>
      <c r="L36" s="17"/>
      <c r="M36" s="17"/>
      <c r="N36" s="17"/>
      <c r="O36" s="17"/>
      <c r="P36" s="17"/>
      <c r="Q36" s="17"/>
      <c r="R36" s="36"/>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BB16"/>
  <sheetViews>
    <sheetView workbookViewId="0" showGridLines="0" defaultGridColor="1"/>
  </sheetViews>
  <sheetFormatPr defaultColWidth="10.8333" defaultRowHeight="16" customHeight="1" outlineLevelRow="0" outlineLevelCol="0"/>
  <cols>
    <col min="1" max="9" width="10.8516" style="122" customWidth="1"/>
    <col min="10" max="10" width="14.6719" style="122" customWidth="1"/>
    <col min="11" max="11" width="14.3516" style="122" customWidth="1"/>
    <col min="12" max="17" width="10.8516" style="122" customWidth="1"/>
    <col min="18" max="18" width="14.6719" style="122" customWidth="1"/>
    <col min="19" max="24" width="10.8516" style="122" customWidth="1"/>
    <col min="25" max="25" width="14.6719" style="122" customWidth="1"/>
    <col min="26" max="26" width="13.5" style="122" customWidth="1"/>
    <col min="27" max="28" width="10.8516" style="122" customWidth="1"/>
    <col min="29" max="29" width="15.5" style="122" customWidth="1"/>
    <col min="30" max="31" width="10.8516" style="122" customWidth="1"/>
    <col min="32" max="33" width="7.17188" style="122" customWidth="1"/>
    <col min="34" max="35" width="11" style="122" customWidth="1"/>
    <col min="36" max="47" width="10.8516" style="122" customWidth="1"/>
    <col min="48" max="48" width="14" style="122" customWidth="1"/>
    <col min="49" max="54" width="10.8516" style="122" customWidth="1"/>
    <col min="55" max="16384" width="10.8516" style="122" customWidth="1"/>
  </cols>
  <sheetData>
    <row r="1" ht="47" customHeight="1">
      <c r="A1" t="s" s="123">
        <v>6</v>
      </c>
      <c r="B1" t="s" s="123">
        <v>7</v>
      </c>
      <c r="C1" t="s" s="7">
        <v>8</v>
      </c>
      <c r="D1" t="s" s="14">
        <v>9</v>
      </c>
      <c r="E1" t="s" s="7">
        <v>10</v>
      </c>
      <c r="F1" t="s" s="14">
        <v>11</v>
      </c>
      <c r="G1" t="s" s="14">
        <v>12</v>
      </c>
      <c r="H1" s="15"/>
      <c r="I1" s="15"/>
      <c r="J1" s="15"/>
      <c r="K1" t="s" s="14">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t="s" s="14">
        <v>358</v>
      </c>
      <c r="AG1" t="s" s="14">
        <v>359</v>
      </c>
      <c r="AH1" t="s" s="14">
        <v>360</v>
      </c>
      <c r="AI1" t="s" s="14">
        <v>361</v>
      </c>
      <c r="AJ1" t="s" s="47">
        <v>362</v>
      </c>
      <c r="AK1" t="s" s="47">
        <v>363</v>
      </c>
      <c r="AL1" t="s" s="14">
        <v>63</v>
      </c>
      <c r="AM1" t="s" s="14">
        <v>364</v>
      </c>
      <c r="AN1" t="s" s="7">
        <v>79</v>
      </c>
      <c r="AO1" t="s" s="14">
        <v>365</v>
      </c>
      <c r="AP1" t="s" s="14">
        <v>185</v>
      </c>
      <c r="AQ1" t="s" s="14">
        <v>366</v>
      </c>
      <c r="AR1" t="s" s="7">
        <v>84</v>
      </c>
      <c r="AS1" t="s" s="47">
        <v>367</v>
      </c>
      <c r="AT1" t="s" s="47">
        <v>368</v>
      </c>
      <c r="AU1" t="s" s="47">
        <v>369</v>
      </c>
      <c r="AV1" t="s" s="47">
        <v>370</v>
      </c>
      <c r="AW1" t="s" s="47">
        <v>371</v>
      </c>
      <c r="AX1" t="s" s="47">
        <v>171</v>
      </c>
      <c r="AY1" t="s" s="47">
        <v>372</v>
      </c>
      <c r="AZ1" t="s" s="14">
        <v>52</v>
      </c>
      <c r="BA1" t="s" s="7">
        <v>74</v>
      </c>
      <c r="BB1" t="s" s="7">
        <v>45</v>
      </c>
    </row>
    <row r="2" ht="47" customHeight="1">
      <c r="A2" t="s" s="18">
        <v>119</v>
      </c>
      <c r="B2" t="s" s="19">
        <v>120</v>
      </c>
      <c r="C2" s="124"/>
      <c r="D2" s="15"/>
      <c r="E2" s="8"/>
      <c r="F2" s="15"/>
      <c r="G2" t="s" s="14">
        <v>24</v>
      </c>
      <c r="H2" t="s" s="14">
        <v>25</v>
      </c>
      <c r="I2" t="s" s="14">
        <v>26</v>
      </c>
      <c r="J2" t="s" s="14">
        <v>27</v>
      </c>
      <c r="K2" t="s" s="14">
        <v>28</v>
      </c>
      <c r="L2" t="s" s="14">
        <v>29</v>
      </c>
      <c r="M2" t="s" s="14">
        <v>30</v>
      </c>
      <c r="N2" t="s" s="14">
        <v>31</v>
      </c>
      <c r="O2" t="s" s="14">
        <v>32</v>
      </c>
      <c r="P2" t="s" s="21">
        <v>33</v>
      </c>
      <c r="Q2" t="s" s="24">
        <v>121</v>
      </c>
      <c r="R2" t="s" s="125">
        <v>122</v>
      </c>
      <c r="S2" t="s" s="125">
        <v>123</v>
      </c>
      <c r="T2" t="s" s="126">
        <v>124</v>
      </c>
      <c r="U2" s="15"/>
      <c r="V2" s="15"/>
      <c r="W2" s="15"/>
      <c r="X2" s="15"/>
      <c r="Y2" s="15"/>
      <c r="Z2" s="15"/>
      <c r="AA2" t="s" s="14">
        <v>35</v>
      </c>
      <c r="AB2" t="s" s="14">
        <v>125</v>
      </c>
      <c r="AC2" t="s" s="14">
        <v>37</v>
      </c>
      <c r="AD2" t="s" s="7">
        <v>32</v>
      </c>
      <c r="AE2" s="8"/>
      <c r="AF2" s="8"/>
      <c r="AG2" s="9">
        <v>1</v>
      </c>
      <c r="AH2" s="9">
        <v>1</v>
      </c>
      <c r="AI2" s="9">
        <v>1</v>
      </c>
      <c r="AJ2" s="8"/>
      <c r="AK2" s="8"/>
      <c r="AL2" s="8"/>
      <c r="AM2" s="8"/>
      <c r="AN2" s="8"/>
      <c r="AO2" s="8"/>
      <c r="AP2" s="8"/>
      <c r="AQ2" s="8"/>
      <c r="AR2" s="8"/>
      <c r="AS2" s="8"/>
      <c r="AT2" s="8"/>
      <c r="AU2" s="8"/>
      <c r="AV2" s="8"/>
      <c r="AW2" s="8"/>
      <c r="AX2" s="8"/>
      <c r="AY2" s="8"/>
      <c r="AZ2" s="8"/>
      <c r="BA2" s="8"/>
      <c r="BB2" s="8"/>
    </row>
    <row r="3" ht="17.45" customHeight="1">
      <c r="A3" t="s" s="127">
        <v>373</v>
      </c>
      <c r="B3" t="s" s="127">
        <v>374</v>
      </c>
      <c r="C3" s="128"/>
      <c r="D3" t="s" s="7">
        <v>357</v>
      </c>
      <c r="E3" t="s" s="123">
        <v>375</v>
      </c>
      <c r="F3" t="s" s="123">
        <v>376</v>
      </c>
      <c r="G3" s="128"/>
      <c r="H3" s="129">
        <v>1</v>
      </c>
      <c r="I3" s="128"/>
      <c r="J3" s="128"/>
      <c r="K3" s="129">
        <v>1</v>
      </c>
      <c r="L3" s="128"/>
      <c r="M3" s="62"/>
      <c r="N3" s="62"/>
      <c r="O3" s="62"/>
      <c r="P3" s="62"/>
      <c r="Q3" s="74">
        <v>66</v>
      </c>
      <c r="R3" s="74">
        <v>1</v>
      </c>
      <c r="S3" s="70"/>
      <c r="T3" s="128"/>
      <c r="U3" s="62"/>
      <c r="V3" s="62"/>
      <c r="W3" s="62"/>
      <c r="X3" t="s" s="123">
        <v>359</v>
      </c>
      <c r="Y3" s="128"/>
      <c r="Z3" s="128"/>
      <c r="AA3" s="129">
        <v>1</v>
      </c>
      <c r="AB3" s="128"/>
      <c r="AC3" s="129">
        <v>1</v>
      </c>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c r="BB3" s="128"/>
    </row>
    <row r="4" ht="17.45" customHeight="1">
      <c r="A4" t="s" s="13">
        <v>373</v>
      </c>
      <c r="B4" t="s" s="130">
        <v>374</v>
      </c>
      <c r="C4" s="131"/>
      <c r="D4" t="s" s="132">
        <v>357</v>
      </c>
      <c r="E4" t="s" s="133">
        <v>375</v>
      </c>
      <c r="F4" t="s" s="133">
        <v>248</v>
      </c>
      <c r="G4" s="134">
        <v>1</v>
      </c>
      <c r="H4" s="131"/>
      <c r="I4" s="131"/>
      <c r="J4" s="131"/>
      <c r="K4" s="131"/>
      <c r="L4" s="134">
        <v>1</v>
      </c>
      <c r="M4" s="135"/>
      <c r="N4" s="135"/>
      <c r="O4" s="135"/>
      <c r="P4" s="135"/>
      <c r="Q4" s="136">
        <v>40</v>
      </c>
      <c r="R4" s="136">
        <v>1</v>
      </c>
      <c r="S4" s="135"/>
      <c r="T4" s="131"/>
      <c r="U4" s="136">
        <v>4</v>
      </c>
      <c r="V4" s="135"/>
      <c r="W4" s="135"/>
      <c r="X4" s="131"/>
      <c r="Y4" s="131"/>
      <c r="Z4" s="131"/>
      <c r="AA4" s="131"/>
      <c r="AB4" s="131"/>
      <c r="AC4" s="131"/>
      <c r="AD4" t="s" s="133">
        <v>377</v>
      </c>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7"/>
    </row>
    <row r="5" ht="17" customHeight="1">
      <c r="A5" t="s" s="123">
        <v>378</v>
      </c>
      <c r="B5" t="s" s="123">
        <v>379</v>
      </c>
      <c r="C5" s="138"/>
      <c r="D5" t="s" s="123">
        <v>357</v>
      </c>
      <c r="E5" t="s" s="139">
        <v>380</v>
      </c>
      <c r="F5" t="s" s="139">
        <v>381</v>
      </c>
      <c r="G5" s="138"/>
      <c r="H5" s="140">
        <v>1</v>
      </c>
      <c r="I5" s="138"/>
      <c r="J5" s="138"/>
      <c r="K5" s="140">
        <v>1</v>
      </c>
      <c r="L5" s="138"/>
      <c r="M5" s="138"/>
      <c r="N5" s="138"/>
      <c r="O5" s="138"/>
      <c r="P5" s="138"/>
      <c r="Q5" s="140">
        <v>38</v>
      </c>
      <c r="R5" s="140">
        <v>1</v>
      </c>
      <c r="S5" s="138"/>
      <c r="T5" s="138"/>
      <c r="U5" s="138"/>
      <c r="V5" s="138"/>
      <c r="W5" s="138"/>
      <c r="X5" t="s" s="139">
        <v>360</v>
      </c>
      <c r="Y5" t="s" s="139">
        <v>382</v>
      </c>
      <c r="Z5" s="138"/>
      <c r="AA5" s="140">
        <v>1</v>
      </c>
      <c r="AB5" s="138"/>
      <c r="AC5" s="140">
        <v>1</v>
      </c>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row>
    <row r="6" ht="17" customHeight="1">
      <c r="A6" t="s" s="141">
        <v>378</v>
      </c>
      <c r="B6" t="s" s="133">
        <v>379</v>
      </c>
      <c r="C6" s="131"/>
      <c r="D6" t="s" s="133">
        <v>357</v>
      </c>
      <c r="E6" t="s" s="133">
        <v>380</v>
      </c>
      <c r="F6" t="s" s="133">
        <v>383</v>
      </c>
      <c r="G6" s="134">
        <v>1</v>
      </c>
      <c r="H6" s="131"/>
      <c r="I6" s="131"/>
      <c r="J6" s="131"/>
      <c r="K6" s="131"/>
      <c r="L6" s="134">
        <v>1</v>
      </c>
      <c r="M6" s="131"/>
      <c r="N6" s="131"/>
      <c r="O6" s="131"/>
      <c r="P6" s="131"/>
      <c r="Q6" s="134">
        <v>30</v>
      </c>
      <c r="R6" s="134">
        <v>1</v>
      </c>
      <c r="S6" s="131"/>
      <c r="T6" s="131"/>
      <c r="U6" s="134">
        <v>11</v>
      </c>
      <c r="V6" s="134">
        <v>2</v>
      </c>
      <c r="W6" s="134">
        <v>2</v>
      </c>
      <c r="X6" s="131"/>
      <c r="Y6" s="131"/>
      <c r="Z6" s="131"/>
      <c r="AA6" s="131"/>
      <c r="AB6" s="131"/>
      <c r="AC6" s="134">
        <v>1</v>
      </c>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7"/>
    </row>
    <row r="7" ht="17" customHeight="1">
      <c r="A7" t="s" s="127">
        <v>378</v>
      </c>
      <c r="B7" t="s" s="127">
        <v>379</v>
      </c>
      <c r="C7" s="142"/>
      <c r="D7" t="s" s="127">
        <v>357</v>
      </c>
      <c r="E7" t="s" s="127">
        <v>380</v>
      </c>
      <c r="F7" t="s" s="127">
        <v>384</v>
      </c>
      <c r="G7" s="142"/>
      <c r="H7" s="143">
        <v>1</v>
      </c>
      <c r="I7" s="142"/>
      <c r="J7" s="142"/>
      <c r="K7" s="142"/>
      <c r="L7" s="142"/>
      <c r="M7" s="142"/>
      <c r="N7" s="143">
        <v>1</v>
      </c>
      <c r="O7" s="142"/>
      <c r="P7" s="142"/>
      <c r="Q7" s="143">
        <v>16</v>
      </c>
      <c r="R7" s="142"/>
      <c r="S7" s="142"/>
      <c r="T7" s="142"/>
      <c r="U7" s="142"/>
      <c r="V7" s="142"/>
      <c r="W7" s="142"/>
      <c r="X7" s="142"/>
      <c r="Y7" s="142"/>
      <c r="Z7" s="142"/>
      <c r="AA7" s="142"/>
      <c r="AB7" s="142"/>
      <c r="AC7" s="143">
        <v>1</v>
      </c>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row>
    <row r="8" ht="17" customHeight="1">
      <c r="A8" t="s" s="7">
        <v>378</v>
      </c>
      <c r="B8" t="s" s="7">
        <v>379</v>
      </c>
      <c r="C8" s="8"/>
      <c r="D8" t="s" s="7">
        <v>357</v>
      </c>
      <c r="E8" t="s" s="7">
        <v>380</v>
      </c>
      <c r="F8" t="s" s="7">
        <v>385</v>
      </c>
      <c r="G8" s="8"/>
      <c r="H8" s="9">
        <v>1</v>
      </c>
      <c r="I8" s="8"/>
      <c r="J8" s="8"/>
      <c r="K8" s="8"/>
      <c r="L8" s="8"/>
      <c r="M8" s="8"/>
      <c r="N8" s="9">
        <v>1</v>
      </c>
      <c r="O8" s="8"/>
      <c r="P8" s="8"/>
      <c r="Q8" s="9">
        <v>5</v>
      </c>
      <c r="R8" s="8"/>
      <c r="S8" s="8"/>
      <c r="T8" s="8"/>
      <c r="U8" s="8"/>
      <c r="V8" s="8"/>
      <c r="W8" s="8"/>
      <c r="X8" s="8"/>
      <c r="Y8" s="8"/>
      <c r="Z8" s="8"/>
      <c r="AA8" s="8"/>
      <c r="AB8" s="8"/>
      <c r="AC8" s="9">
        <v>1</v>
      </c>
      <c r="AD8" s="8"/>
      <c r="AE8" s="8"/>
      <c r="AF8" s="8"/>
      <c r="AG8" s="8"/>
      <c r="AH8" s="8"/>
      <c r="AI8" s="8"/>
      <c r="AJ8" s="8"/>
      <c r="AK8" s="8"/>
      <c r="AL8" s="8"/>
      <c r="AM8" s="8"/>
      <c r="AN8" s="8"/>
      <c r="AO8" s="8"/>
      <c r="AP8" s="8"/>
      <c r="AQ8" s="8"/>
      <c r="AR8" s="8"/>
      <c r="AS8" s="8"/>
      <c r="AT8" s="8"/>
      <c r="AU8" s="8"/>
      <c r="AV8" s="8"/>
      <c r="AW8" s="8"/>
      <c r="AX8" s="8"/>
      <c r="AY8" s="8"/>
      <c r="AZ8" s="8"/>
      <c r="BA8" s="8"/>
      <c r="BB8" s="8"/>
    </row>
    <row r="9" ht="17" customHeight="1">
      <c r="A9" t="s" s="123">
        <v>378</v>
      </c>
      <c r="B9" t="s" s="123">
        <v>379</v>
      </c>
      <c r="C9" s="128"/>
      <c r="D9" t="s" s="123">
        <v>357</v>
      </c>
      <c r="E9" t="s" s="123">
        <v>380</v>
      </c>
      <c r="F9" t="s" s="123">
        <v>82</v>
      </c>
      <c r="G9" s="128"/>
      <c r="H9" s="129">
        <v>1</v>
      </c>
      <c r="I9" s="128"/>
      <c r="J9" s="128"/>
      <c r="K9" s="128"/>
      <c r="L9" s="128"/>
      <c r="M9" s="128"/>
      <c r="N9" s="128"/>
      <c r="O9" t="s" s="123">
        <v>386</v>
      </c>
      <c r="P9" s="128"/>
      <c r="Q9" s="129">
        <v>35</v>
      </c>
      <c r="R9" s="128"/>
      <c r="S9" s="129">
        <v>1</v>
      </c>
      <c r="T9" s="128"/>
      <c r="U9" s="128"/>
      <c r="V9" s="128"/>
      <c r="W9" s="128"/>
      <c r="X9" t="s" s="123">
        <v>387</v>
      </c>
      <c r="Y9" t="s" s="123">
        <v>388</v>
      </c>
      <c r="Z9" s="128"/>
      <c r="AA9" s="128"/>
      <c r="AB9" s="129">
        <v>1</v>
      </c>
      <c r="AC9" s="129">
        <v>1</v>
      </c>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row>
    <row r="10" ht="17" customHeight="1">
      <c r="A10" t="s" s="141">
        <v>378</v>
      </c>
      <c r="B10" t="s" s="133">
        <v>379</v>
      </c>
      <c r="C10" s="131"/>
      <c r="D10" t="s" s="133">
        <v>357</v>
      </c>
      <c r="E10" t="s" s="133">
        <v>60</v>
      </c>
      <c r="F10" t="s" s="133">
        <v>389</v>
      </c>
      <c r="G10" s="134">
        <v>1</v>
      </c>
      <c r="H10" s="131"/>
      <c r="I10" s="131"/>
      <c r="J10" s="131"/>
      <c r="K10" s="131"/>
      <c r="L10" s="131"/>
      <c r="M10" s="131"/>
      <c r="N10" s="131"/>
      <c r="O10" s="131"/>
      <c r="P10" s="134">
        <v>1</v>
      </c>
      <c r="Q10" s="134">
        <v>20</v>
      </c>
      <c r="R10" s="131"/>
      <c r="S10" s="134">
        <v>1</v>
      </c>
      <c r="T10" s="131"/>
      <c r="U10" s="131"/>
      <c r="V10" s="131"/>
      <c r="W10" s="131"/>
      <c r="X10" t="s" s="133">
        <v>194</v>
      </c>
      <c r="Y10" s="131"/>
      <c r="Z10" s="131"/>
      <c r="AA10" s="131"/>
      <c r="AB10" s="134">
        <v>1</v>
      </c>
      <c r="AC10" s="131"/>
      <c r="AD10" t="s" s="133">
        <v>390</v>
      </c>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7"/>
    </row>
    <row r="11" ht="17" customHeight="1">
      <c r="A11" t="s" s="141">
        <v>378</v>
      </c>
      <c r="B11" t="s" s="133">
        <v>379</v>
      </c>
      <c r="C11" s="131"/>
      <c r="D11" t="s" s="133">
        <v>357</v>
      </c>
      <c r="E11" t="s" s="133">
        <v>391</v>
      </c>
      <c r="F11" t="s" s="133">
        <v>392</v>
      </c>
      <c r="G11" s="134">
        <v>1</v>
      </c>
      <c r="H11" s="131"/>
      <c r="I11" s="131"/>
      <c r="J11" s="131"/>
      <c r="K11" s="131"/>
      <c r="L11" s="131"/>
      <c r="M11" s="131"/>
      <c r="N11" s="131"/>
      <c r="O11" s="131"/>
      <c r="P11" s="134">
        <v>1</v>
      </c>
      <c r="Q11" s="134">
        <v>38</v>
      </c>
      <c r="R11" s="131"/>
      <c r="S11" s="134">
        <v>1</v>
      </c>
      <c r="T11" s="131"/>
      <c r="U11" s="131"/>
      <c r="V11" s="131"/>
      <c r="W11" s="131"/>
      <c r="X11" t="s" s="133">
        <v>191</v>
      </c>
      <c r="Y11" s="131"/>
      <c r="Z11" s="131"/>
      <c r="AA11" s="131"/>
      <c r="AB11" s="134">
        <v>1</v>
      </c>
      <c r="AC11" s="131"/>
      <c r="AD11" t="s" s="133">
        <v>225</v>
      </c>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7"/>
    </row>
    <row r="12" ht="17" customHeight="1">
      <c r="A12" t="s" s="141">
        <v>378</v>
      </c>
      <c r="B12" t="s" s="133">
        <v>379</v>
      </c>
      <c r="C12" s="131"/>
      <c r="D12" t="s" s="133">
        <v>357</v>
      </c>
      <c r="E12" t="s" s="133">
        <v>393</v>
      </c>
      <c r="F12" t="s" s="133">
        <v>394</v>
      </c>
      <c r="G12" s="134">
        <v>1</v>
      </c>
      <c r="H12" s="131"/>
      <c r="I12" s="131"/>
      <c r="J12" s="131"/>
      <c r="K12" s="131"/>
      <c r="L12" s="131"/>
      <c r="M12" s="131"/>
      <c r="N12" s="131"/>
      <c r="O12" s="131"/>
      <c r="P12" s="134">
        <v>1</v>
      </c>
      <c r="Q12" s="134">
        <v>24</v>
      </c>
      <c r="R12" s="131"/>
      <c r="S12" s="134">
        <v>1</v>
      </c>
      <c r="T12" s="131"/>
      <c r="U12" s="131"/>
      <c r="V12" s="131"/>
      <c r="W12" s="131"/>
      <c r="X12" t="s" s="133">
        <v>395</v>
      </c>
      <c r="Y12" s="131"/>
      <c r="Z12" s="131"/>
      <c r="AA12" s="131"/>
      <c r="AB12" s="134">
        <v>1</v>
      </c>
      <c r="AC12" s="134">
        <v>1</v>
      </c>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7"/>
    </row>
    <row r="13" ht="17" customHeight="1">
      <c r="A13" t="s" s="127">
        <v>285</v>
      </c>
      <c r="B13" s="143">
        <v>2</v>
      </c>
      <c r="C13" s="142"/>
      <c r="D13" s="142"/>
      <c r="E13" s="143">
        <v>5</v>
      </c>
      <c r="F13" s="143">
        <v>10</v>
      </c>
      <c r="G13" s="143">
        <f>SUM(G3:G12)</f>
        <v>5</v>
      </c>
      <c r="H13" s="143">
        <f>SUM(H3:H12)</f>
        <v>5</v>
      </c>
      <c r="I13" s="143">
        <f>SUM(I3:I12)</f>
        <v>0</v>
      </c>
      <c r="J13" s="143">
        <f>SUM(J3:J12)</f>
        <v>0</v>
      </c>
      <c r="K13" s="143">
        <f>SUM(K3:K12)</f>
        <v>2</v>
      </c>
      <c r="L13" s="143">
        <f>SUM(L3:L12)</f>
        <v>2</v>
      </c>
      <c r="M13" s="143">
        <f>SUM(M3:M12)</f>
        <v>0</v>
      </c>
      <c r="N13" s="143">
        <f>SUM(N3:N12)</f>
        <v>2</v>
      </c>
      <c r="O13" s="143">
        <v>1</v>
      </c>
      <c r="P13" s="143">
        <f>SUM(P3:P12)</f>
        <v>3</v>
      </c>
      <c r="Q13" s="143">
        <f>SUM(Q3:Q12)</f>
        <v>312</v>
      </c>
      <c r="R13" s="143">
        <f>SUM(R3:R12)</f>
        <v>4</v>
      </c>
      <c r="S13" s="143">
        <f>SUM(S3:S12)</f>
        <v>4</v>
      </c>
      <c r="T13" s="143">
        <f>SUM(T3:T12)</f>
        <v>0</v>
      </c>
      <c r="U13" s="143">
        <f>SUM(U3:U12)</f>
        <v>15</v>
      </c>
      <c r="V13" s="143">
        <f>SUM(V3:V12)</f>
        <v>2</v>
      </c>
      <c r="W13" s="143">
        <f>SUM(W3:W12)</f>
        <v>2</v>
      </c>
      <c r="X13" s="143">
        <f>SUM(X3:X12)</f>
        <v>0</v>
      </c>
      <c r="Y13" s="143">
        <f>SUM(Y3:Y12)</f>
        <v>0</v>
      </c>
      <c r="Z13" s="143">
        <f>AA13+AB13</f>
        <v>6</v>
      </c>
      <c r="AA13" s="143">
        <f>SUM(AA3:AA12)</f>
        <v>2</v>
      </c>
      <c r="AB13" s="143">
        <f>SUM(AB3:AB12)</f>
        <v>4</v>
      </c>
      <c r="AC13" s="143">
        <f>SUM(AC3:AC12)</f>
        <v>7</v>
      </c>
      <c r="AD13" s="143">
        <v>3</v>
      </c>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row>
    <row r="14" ht="17" customHeight="1">
      <c r="A14" s="8"/>
      <c r="B14" s="8"/>
      <c r="C14" s="8"/>
      <c r="D14" s="8"/>
      <c r="E14" s="8"/>
      <c r="F14" s="8"/>
      <c r="G14" s="9">
        <f>G13+H13+I13+J13</f>
        <v>10</v>
      </c>
      <c r="H14" s="8"/>
      <c r="I14" s="8"/>
      <c r="J14" s="8"/>
      <c r="K14" s="9">
        <f>K13+L13+M13+N13+O13+P13</f>
        <v>10</v>
      </c>
      <c r="L14" s="8"/>
      <c r="M14" s="8"/>
      <c r="N14" s="8"/>
      <c r="O14" s="8"/>
      <c r="P14" s="8"/>
      <c r="Q14" s="144">
        <f>Q13/K14</f>
        <v>31.2</v>
      </c>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row>
    <row r="15" ht="17" customHeight="1">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row>
    <row r="16" ht="17.45" customHeight="1">
      <c r="A16" s="145"/>
      <c r="B16" s="146"/>
      <c r="C16" s="146"/>
      <c r="D16" s="146"/>
      <c r="E16" s="146"/>
      <c r="F16" s="146"/>
      <c r="G16" s="146"/>
      <c r="H16" s="146"/>
      <c r="I16" s="146"/>
      <c r="J16" s="146"/>
      <c r="K16" s="146"/>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AY13"/>
  <sheetViews>
    <sheetView workbookViewId="0" showGridLines="0" defaultGridColor="1"/>
  </sheetViews>
  <sheetFormatPr defaultColWidth="10.8333" defaultRowHeight="16" customHeight="1" outlineLevelRow="0" outlineLevelCol="0"/>
  <cols>
    <col min="1" max="3" width="10.8516" style="147" customWidth="1"/>
    <col min="4" max="4" width="12.8516" style="147" customWidth="1"/>
    <col min="5" max="5" width="10.8516" style="147" customWidth="1"/>
    <col min="6" max="6" width="16.1719" style="147" customWidth="1"/>
    <col min="7" max="10" width="10.8516" style="147" customWidth="1"/>
    <col min="11" max="11" width="13.1719" style="147" customWidth="1"/>
    <col min="12" max="23" width="10.8516" style="147" customWidth="1"/>
    <col min="24" max="24" width="20.6719" style="147" customWidth="1"/>
    <col min="25" max="25" width="14.6719" style="147" customWidth="1"/>
    <col min="26" max="26" width="13.3516" style="147" customWidth="1"/>
    <col min="27" max="28" width="10.8516" style="147" customWidth="1"/>
    <col min="29" max="29" width="17" style="147" customWidth="1"/>
    <col min="30" max="30" width="17.6719" style="147" customWidth="1"/>
    <col min="31" max="51" width="10.8516" style="147" customWidth="1"/>
    <col min="52" max="16384" width="10.8516" style="147" customWidth="1"/>
  </cols>
  <sheetData>
    <row r="1" ht="47" customHeight="1">
      <c r="A1" t="s" s="123">
        <v>6</v>
      </c>
      <c r="B1" t="s" s="123">
        <v>7</v>
      </c>
      <c r="C1" t="s" s="7">
        <v>8</v>
      </c>
      <c r="D1" t="s" s="14">
        <v>9</v>
      </c>
      <c r="E1" t="s" s="7">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18">
        <v>119</v>
      </c>
      <c r="B2" t="s" s="19">
        <v>120</v>
      </c>
      <c r="C2" s="124"/>
      <c r="D2" s="15"/>
      <c r="E2" s="8"/>
      <c r="F2" s="15"/>
      <c r="G2" t="s" s="14">
        <v>24</v>
      </c>
      <c r="H2" t="s" s="14">
        <v>25</v>
      </c>
      <c r="I2" t="s" s="14">
        <v>26</v>
      </c>
      <c r="J2" t="s" s="21">
        <v>27</v>
      </c>
      <c r="K2" t="s" s="125">
        <v>28</v>
      </c>
      <c r="L2" t="s" s="23">
        <v>29</v>
      </c>
      <c r="M2" t="s" s="14">
        <v>30</v>
      </c>
      <c r="N2" t="s" s="14">
        <v>31</v>
      </c>
      <c r="O2" t="s" s="14">
        <v>32</v>
      </c>
      <c r="P2" t="s" s="21">
        <v>33</v>
      </c>
      <c r="Q2" t="s" s="24">
        <v>121</v>
      </c>
      <c r="R2" t="s" s="125">
        <v>122</v>
      </c>
      <c r="S2" t="s" s="125">
        <v>123</v>
      </c>
      <c r="T2" t="s" s="126">
        <v>124</v>
      </c>
      <c r="U2" s="15"/>
      <c r="V2" s="15"/>
      <c r="W2" s="15"/>
      <c r="X2" s="15"/>
      <c r="Y2" s="15"/>
      <c r="Z2" s="15"/>
      <c r="AA2" t="s" s="14">
        <v>35</v>
      </c>
      <c r="AB2" t="s" s="14">
        <v>125</v>
      </c>
      <c r="AC2" t="s" s="14">
        <v>37</v>
      </c>
      <c r="AD2" t="s" s="7">
        <v>32</v>
      </c>
      <c r="AE2" s="8"/>
      <c r="AF2" s="8"/>
      <c r="AG2" s="8"/>
      <c r="AH2" s="8"/>
      <c r="AI2" s="8"/>
      <c r="AJ2" s="8"/>
      <c r="AK2" s="8"/>
      <c r="AL2" s="8"/>
      <c r="AM2" s="8"/>
      <c r="AN2" s="8"/>
      <c r="AO2" s="8"/>
      <c r="AP2" s="8"/>
      <c r="AQ2" s="8"/>
      <c r="AR2" s="8"/>
      <c r="AS2" s="8"/>
      <c r="AT2" s="8"/>
      <c r="AU2" s="8"/>
      <c r="AV2" s="8"/>
      <c r="AW2" s="8"/>
      <c r="AX2" s="8"/>
      <c r="AY2" s="8"/>
    </row>
    <row r="3" ht="19" customHeight="1">
      <c r="A3" t="s" s="127">
        <v>397</v>
      </c>
      <c r="B3" s="142"/>
      <c r="C3" s="8"/>
      <c r="D3" t="s" s="7">
        <v>396</v>
      </c>
      <c r="E3" t="s" s="7">
        <v>398</v>
      </c>
      <c r="F3" t="s" s="14">
        <v>399</v>
      </c>
      <c r="G3" s="32">
        <v>1</v>
      </c>
      <c r="H3" s="15"/>
      <c r="I3" s="15"/>
      <c r="J3" s="15"/>
      <c r="K3" s="148"/>
      <c r="L3" s="15"/>
      <c r="M3" s="15"/>
      <c r="N3" s="15"/>
      <c r="O3" s="15"/>
      <c r="P3" s="32">
        <v>1</v>
      </c>
      <c r="Q3" s="33">
        <v>47</v>
      </c>
      <c r="R3" s="148"/>
      <c r="S3" s="33">
        <v>1</v>
      </c>
      <c r="T3" s="15"/>
      <c r="U3" s="15"/>
      <c r="V3" s="15"/>
      <c r="W3" s="15"/>
      <c r="X3" t="s" s="14">
        <v>159</v>
      </c>
      <c r="Y3" s="15"/>
      <c r="Z3" s="32">
        <v>1</v>
      </c>
      <c r="AA3" s="15"/>
      <c r="AB3" s="32">
        <v>1</v>
      </c>
      <c r="AC3" s="15"/>
      <c r="AD3" t="s" s="14">
        <v>400</v>
      </c>
      <c r="AE3" s="8"/>
      <c r="AF3" s="8"/>
      <c r="AG3" s="8"/>
      <c r="AH3" s="8"/>
      <c r="AI3" s="8"/>
      <c r="AJ3" s="8"/>
      <c r="AK3" s="8"/>
      <c r="AL3" s="8"/>
      <c r="AM3" s="8"/>
      <c r="AN3" s="8"/>
      <c r="AO3" s="8"/>
      <c r="AP3" s="8"/>
      <c r="AQ3" s="8"/>
      <c r="AR3" s="8"/>
      <c r="AS3" s="8"/>
      <c r="AT3" s="8"/>
      <c r="AU3" s="8"/>
      <c r="AV3" s="8"/>
      <c r="AW3" s="8"/>
      <c r="AX3" s="8"/>
      <c r="AY3" s="8"/>
    </row>
    <row r="4" ht="17.45" customHeight="1">
      <c r="A4" t="s" s="7">
        <v>397</v>
      </c>
      <c r="B4" s="8"/>
      <c r="C4" s="8"/>
      <c r="D4" t="s" s="7">
        <v>396</v>
      </c>
      <c r="E4" t="s" s="7">
        <v>160</v>
      </c>
      <c r="F4" t="s" s="7">
        <v>401</v>
      </c>
      <c r="G4" s="9">
        <v>1</v>
      </c>
      <c r="H4" s="8"/>
      <c r="I4" s="8"/>
      <c r="J4" s="8"/>
      <c r="K4" s="8"/>
      <c r="L4" s="8"/>
      <c r="M4" s="36"/>
      <c r="N4" s="36"/>
      <c r="O4" s="36"/>
      <c r="P4" s="35">
        <v>1</v>
      </c>
      <c r="Q4" s="9">
        <v>35</v>
      </c>
      <c r="R4" s="36"/>
      <c r="S4" s="35">
        <v>1</v>
      </c>
      <c r="T4" s="8"/>
      <c r="U4" s="8"/>
      <c r="V4" s="8"/>
      <c r="W4" s="8"/>
      <c r="X4" t="s" s="7">
        <v>165</v>
      </c>
      <c r="Y4" s="8"/>
      <c r="Z4" s="9">
        <v>1</v>
      </c>
      <c r="AA4" s="8"/>
      <c r="AB4" s="9">
        <v>1</v>
      </c>
      <c r="AC4" s="8"/>
      <c r="AD4" t="s" s="7">
        <v>402</v>
      </c>
      <c r="AE4" s="8"/>
      <c r="AF4" s="8"/>
      <c r="AG4" s="8"/>
      <c r="AH4" s="8"/>
      <c r="AI4" s="8"/>
      <c r="AJ4" s="8"/>
      <c r="AK4" s="8"/>
      <c r="AL4" s="8"/>
      <c r="AM4" s="8"/>
      <c r="AN4" s="8"/>
      <c r="AO4" s="8"/>
      <c r="AP4" s="8"/>
      <c r="AQ4" s="8"/>
      <c r="AR4" s="8"/>
      <c r="AS4" s="8"/>
      <c r="AT4" s="8"/>
      <c r="AU4" s="8"/>
      <c r="AV4" s="8"/>
      <c r="AW4" s="8"/>
      <c r="AX4" s="8"/>
      <c r="AY4" s="8"/>
    </row>
    <row r="5" ht="17.45" customHeight="1">
      <c r="A5" t="s" s="7">
        <v>397</v>
      </c>
      <c r="B5" s="8"/>
      <c r="C5" s="8"/>
      <c r="D5" t="s" s="7">
        <v>396</v>
      </c>
      <c r="E5" t="s" s="7">
        <v>403</v>
      </c>
      <c r="F5" t="s" s="7">
        <v>404</v>
      </c>
      <c r="G5" s="9">
        <v>1</v>
      </c>
      <c r="H5" s="8"/>
      <c r="I5" s="8"/>
      <c r="J5" s="8"/>
      <c r="K5" s="8"/>
      <c r="L5" s="8"/>
      <c r="M5" s="36"/>
      <c r="N5" s="36"/>
      <c r="O5" s="36"/>
      <c r="P5" s="35">
        <v>1</v>
      </c>
      <c r="Q5" s="35">
        <v>24</v>
      </c>
      <c r="R5" s="36"/>
      <c r="S5" s="35">
        <v>1</v>
      </c>
      <c r="T5" s="36"/>
      <c r="U5" s="8"/>
      <c r="V5" s="8"/>
      <c r="W5" s="8"/>
      <c r="X5" t="s" s="7">
        <v>162</v>
      </c>
      <c r="Y5" s="8"/>
      <c r="Z5" s="9">
        <v>1</v>
      </c>
      <c r="AA5" s="8"/>
      <c r="AB5" s="9">
        <v>1</v>
      </c>
      <c r="AC5" s="9">
        <v>1</v>
      </c>
      <c r="AD5" s="8"/>
      <c r="AE5" s="8"/>
      <c r="AF5" s="8"/>
      <c r="AG5" s="8"/>
      <c r="AH5" s="8"/>
      <c r="AI5" s="8"/>
      <c r="AJ5" s="8"/>
      <c r="AK5" s="8"/>
      <c r="AL5" s="8"/>
      <c r="AM5" s="8"/>
      <c r="AN5" s="8"/>
      <c r="AO5" s="8"/>
      <c r="AP5" s="8"/>
      <c r="AQ5" s="8"/>
      <c r="AR5" s="8"/>
      <c r="AS5" s="8"/>
      <c r="AT5" s="8"/>
      <c r="AU5" s="8"/>
      <c r="AV5" s="8"/>
      <c r="AW5" s="8"/>
      <c r="AX5" s="8"/>
      <c r="AY5" s="8"/>
    </row>
    <row r="6" ht="17" customHeight="1">
      <c r="A6" t="s" s="7">
        <v>405</v>
      </c>
      <c r="B6" t="s" s="7">
        <v>406</v>
      </c>
      <c r="C6" s="8"/>
      <c r="D6" t="s" s="7">
        <v>396</v>
      </c>
      <c r="E6" t="s" s="7">
        <v>407</v>
      </c>
      <c r="F6" t="s" s="7">
        <v>408</v>
      </c>
      <c r="G6" s="8"/>
      <c r="H6" s="9">
        <v>1</v>
      </c>
      <c r="I6" s="8"/>
      <c r="J6" s="8"/>
      <c r="K6" s="9">
        <v>1</v>
      </c>
      <c r="L6" s="8"/>
      <c r="M6" s="8"/>
      <c r="N6" s="8"/>
      <c r="O6" s="8"/>
      <c r="P6" s="8"/>
      <c r="Q6" s="9">
        <v>48</v>
      </c>
      <c r="R6" s="9">
        <v>1</v>
      </c>
      <c r="S6" s="8"/>
      <c r="T6" s="8"/>
      <c r="U6" s="8"/>
      <c r="V6" s="8"/>
      <c r="W6" s="8"/>
      <c r="X6" t="s" s="7">
        <v>367</v>
      </c>
      <c r="Y6" t="s" s="7">
        <v>178</v>
      </c>
      <c r="Z6" s="9">
        <v>1</v>
      </c>
      <c r="AA6" s="8"/>
      <c r="AB6" s="9">
        <v>1</v>
      </c>
      <c r="AC6" s="8"/>
      <c r="AD6" t="s" s="7">
        <v>409</v>
      </c>
      <c r="AE6" s="8"/>
      <c r="AF6" s="8"/>
      <c r="AG6" s="8"/>
      <c r="AH6" s="8"/>
      <c r="AI6" s="8"/>
      <c r="AJ6" s="8"/>
      <c r="AK6" s="8"/>
      <c r="AL6" s="8"/>
      <c r="AM6" s="8"/>
      <c r="AN6" s="8"/>
      <c r="AO6" s="8"/>
      <c r="AP6" s="8"/>
      <c r="AQ6" s="8"/>
      <c r="AR6" s="8"/>
      <c r="AS6" s="8"/>
      <c r="AT6" s="8"/>
      <c r="AU6" s="8"/>
      <c r="AV6" s="8"/>
      <c r="AW6" s="8"/>
      <c r="AX6" s="8"/>
      <c r="AY6" s="8"/>
    </row>
    <row r="7" ht="17.45" customHeight="1">
      <c r="A7" t="s" s="7">
        <v>405</v>
      </c>
      <c r="B7" t="s" s="7">
        <v>406</v>
      </c>
      <c r="C7" s="8"/>
      <c r="D7" t="s" s="7">
        <v>396</v>
      </c>
      <c r="E7" t="s" s="7">
        <v>407</v>
      </c>
      <c r="F7" t="s" s="7">
        <v>202</v>
      </c>
      <c r="G7" s="9">
        <v>1</v>
      </c>
      <c r="H7" s="8"/>
      <c r="I7" s="8"/>
      <c r="J7" s="8"/>
      <c r="K7" s="8"/>
      <c r="L7" s="9">
        <v>1</v>
      </c>
      <c r="M7" s="36"/>
      <c r="N7" s="36"/>
      <c r="O7" s="36"/>
      <c r="P7" s="36"/>
      <c r="Q7" s="35">
        <v>52</v>
      </c>
      <c r="R7" s="35">
        <v>1</v>
      </c>
      <c r="S7" s="36"/>
      <c r="T7" s="36"/>
      <c r="U7" s="9">
        <v>25</v>
      </c>
      <c r="V7" s="35">
        <v>5</v>
      </c>
      <c r="W7" s="35">
        <v>5</v>
      </c>
      <c r="X7" s="8"/>
      <c r="Y7" s="8"/>
      <c r="Z7" s="8"/>
      <c r="AA7" s="8"/>
      <c r="AB7" s="8"/>
      <c r="AC7" s="8"/>
      <c r="AD7" t="s" s="7">
        <v>166</v>
      </c>
      <c r="AE7" s="8"/>
      <c r="AF7" s="8"/>
      <c r="AG7" s="8"/>
      <c r="AH7" s="8"/>
      <c r="AI7" s="8"/>
      <c r="AJ7" s="8"/>
      <c r="AK7" s="8"/>
      <c r="AL7" s="8"/>
      <c r="AM7" s="8"/>
      <c r="AN7" s="8"/>
      <c r="AO7" s="8"/>
      <c r="AP7" s="8"/>
      <c r="AQ7" s="8"/>
      <c r="AR7" s="8"/>
      <c r="AS7" s="8"/>
      <c r="AT7" s="8"/>
      <c r="AU7" s="8"/>
      <c r="AV7" s="8"/>
      <c r="AW7" s="8"/>
      <c r="AX7" s="8"/>
      <c r="AY7" s="8"/>
    </row>
    <row r="8" ht="17.45" customHeight="1">
      <c r="A8" t="s" s="7">
        <v>405</v>
      </c>
      <c r="B8" t="s" s="7">
        <v>406</v>
      </c>
      <c r="C8" s="8"/>
      <c r="D8" t="s" s="7">
        <v>396</v>
      </c>
      <c r="E8" t="s" s="7">
        <v>407</v>
      </c>
      <c r="F8" t="s" s="7">
        <v>238</v>
      </c>
      <c r="G8" s="8"/>
      <c r="H8" s="9">
        <v>1</v>
      </c>
      <c r="I8" s="8"/>
      <c r="J8" s="8"/>
      <c r="K8" s="8"/>
      <c r="L8" s="8"/>
      <c r="M8" s="8"/>
      <c r="N8" s="9">
        <v>1</v>
      </c>
      <c r="O8" s="8"/>
      <c r="P8" s="8"/>
      <c r="Q8" s="9">
        <v>23</v>
      </c>
      <c r="R8" s="8"/>
      <c r="S8" s="35">
        <v>1</v>
      </c>
      <c r="T8" s="8"/>
      <c r="U8" s="8"/>
      <c r="V8" s="8"/>
      <c r="W8" s="8"/>
      <c r="X8" t="s" s="7">
        <v>410</v>
      </c>
      <c r="Y8" t="s" s="7">
        <v>411</v>
      </c>
      <c r="Z8" s="9">
        <v>1</v>
      </c>
      <c r="AA8" s="8"/>
      <c r="AB8" s="9">
        <v>1</v>
      </c>
      <c r="AC8" s="9">
        <v>1</v>
      </c>
      <c r="AD8" s="8"/>
      <c r="AE8" s="8"/>
      <c r="AF8" s="8"/>
      <c r="AG8" s="8"/>
      <c r="AH8" s="8"/>
      <c r="AI8" s="8"/>
      <c r="AJ8" s="8"/>
      <c r="AK8" s="8"/>
      <c r="AL8" s="8"/>
      <c r="AM8" s="8"/>
      <c r="AN8" s="8"/>
      <c r="AO8" s="8"/>
      <c r="AP8" s="8"/>
      <c r="AQ8" s="8"/>
      <c r="AR8" s="8"/>
      <c r="AS8" s="8"/>
      <c r="AT8" s="8"/>
      <c r="AU8" s="8"/>
      <c r="AV8" s="8"/>
      <c r="AW8" s="8"/>
      <c r="AX8" s="8"/>
      <c r="AY8" s="8"/>
    </row>
    <row r="9" ht="17.45" customHeight="1">
      <c r="A9" t="s" s="7">
        <v>405</v>
      </c>
      <c r="B9" t="s" s="7">
        <v>406</v>
      </c>
      <c r="C9" s="8"/>
      <c r="D9" t="s" s="7">
        <v>396</v>
      </c>
      <c r="E9" t="s" s="7">
        <v>407</v>
      </c>
      <c r="F9" t="s" s="7">
        <v>412</v>
      </c>
      <c r="G9" s="8"/>
      <c r="H9" s="9">
        <v>1</v>
      </c>
      <c r="I9" s="8"/>
      <c r="J9" s="8"/>
      <c r="K9" s="8"/>
      <c r="L9" s="8"/>
      <c r="M9" s="8"/>
      <c r="N9" s="9">
        <v>1</v>
      </c>
      <c r="O9" s="8"/>
      <c r="P9" s="8"/>
      <c r="Q9" s="35">
        <v>21</v>
      </c>
      <c r="R9" s="8"/>
      <c r="S9" s="35">
        <v>1</v>
      </c>
      <c r="T9" s="8"/>
      <c r="U9" s="8"/>
      <c r="V9" s="8"/>
      <c r="W9" s="8"/>
      <c r="X9" t="s" s="7">
        <v>413</v>
      </c>
      <c r="Y9" t="s" s="7">
        <v>414</v>
      </c>
      <c r="Z9" s="9">
        <v>1</v>
      </c>
      <c r="AA9" s="8"/>
      <c r="AB9" s="9">
        <v>1</v>
      </c>
      <c r="AC9" s="9">
        <v>1</v>
      </c>
      <c r="AD9" s="8"/>
      <c r="AE9" s="8"/>
      <c r="AF9" s="8"/>
      <c r="AG9" s="8"/>
      <c r="AH9" s="8"/>
      <c r="AI9" s="8"/>
      <c r="AJ9" s="8"/>
      <c r="AK9" s="8"/>
      <c r="AL9" s="8"/>
      <c r="AM9" s="8"/>
      <c r="AN9" s="8"/>
      <c r="AO9" s="8"/>
      <c r="AP9" s="8"/>
      <c r="AQ9" s="8"/>
      <c r="AR9" s="8"/>
      <c r="AS9" s="8"/>
      <c r="AT9" s="8"/>
      <c r="AU9" s="8"/>
      <c r="AV9" s="8"/>
      <c r="AW9" s="8"/>
      <c r="AX9" s="8"/>
      <c r="AY9" s="8"/>
    </row>
    <row r="10" ht="17.45" customHeight="1">
      <c r="A10" t="s" s="7">
        <v>405</v>
      </c>
      <c r="B10" t="s" s="7">
        <v>406</v>
      </c>
      <c r="C10" s="8"/>
      <c r="D10" t="s" s="7">
        <v>396</v>
      </c>
      <c r="E10" t="s" s="7">
        <v>407</v>
      </c>
      <c r="F10" t="s" s="7">
        <v>415</v>
      </c>
      <c r="G10" s="8"/>
      <c r="H10" s="9">
        <v>1</v>
      </c>
      <c r="I10" s="8"/>
      <c r="J10" s="8"/>
      <c r="K10" s="8"/>
      <c r="L10" s="8"/>
      <c r="M10" s="8"/>
      <c r="N10" s="9">
        <v>1</v>
      </c>
      <c r="O10" s="8"/>
      <c r="P10" s="8"/>
      <c r="Q10" s="9">
        <v>19</v>
      </c>
      <c r="R10" s="8"/>
      <c r="S10" s="35">
        <v>1</v>
      </c>
      <c r="T10" s="8"/>
      <c r="U10" s="8"/>
      <c r="V10" s="8"/>
      <c r="W10" s="8"/>
      <c r="X10" t="s" s="7">
        <v>79</v>
      </c>
      <c r="Y10" t="s" s="7">
        <v>411</v>
      </c>
      <c r="Z10" s="9">
        <v>1</v>
      </c>
      <c r="AA10" s="8"/>
      <c r="AB10" s="9">
        <v>1</v>
      </c>
      <c r="AC10" s="9">
        <v>1</v>
      </c>
      <c r="AD10" s="8"/>
      <c r="AE10" s="8"/>
      <c r="AF10" s="8"/>
      <c r="AG10" s="8"/>
      <c r="AH10" s="8"/>
      <c r="AI10" s="8"/>
      <c r="AJ10" s="8"/>
      <c r="AK10" s="8"/>
      <c r="AL10" s="8"/>
      <c r="AM10" s="8"/>
      <c r="AN10" s="8"/>
      <c r="AO10" s="8"/>
      <c r="AP10" s="8"/>
      <c r="AQ10" s="8"/>
      <c r="AR10" s="8"/>
      <c r="AS10" s="8"/>
      <c r="AT10" s="8"/>
      <c r="AU10" s="8"/>
      <c r="AV10" s="8"/>
      <c r="AW10" s="8"/>
      <c r="AX10" s="8"/>
      <c r="AY10" s="8"/>
    </row>
    <row r="11" ht="17.45" customHeight="1">
      <c r="A11" t="s" s="7">
        <v>405</v>
      </c>
      <c r="B11" t="s" s="7">
        <v>406</v>
      </c>
      <c r="C11" s="8"/>
      <c r="D11" t="s" s="7">
        <v>396</v>
      </c>
      <c r="E11" t="s" s="7">
        <v>407</v>
      </c>
      <c r="F11" t="s" s="7">
        <v>416</v>
      </c>
      <c r="G11" s="8"/>
      <c r="H11" s="9">
        <v>1</v>
      </c>
      <c r="I11" s="8"/>
      <c r="J11" s="8"/>
      <c r="K11" s="8"/>
      <c r="L11" s="8"/>
      <c r="M11" s="8"/>
      <c r="N11" s="9">
        <v>1</v>
      </c>
      <c r="O11" s="8"/>
      <c r="P11" s="8"/>
      <c r="Q11" s="35">
        <v>17</v>
      </c>
      <c r="R11" s="8"/>
      <c r="S11" s="35">
        <v>1</v>
      </c>
      <c r="T11" s="8"/>
      <c r="U11" s="8"/>
      <c r="V11" s="8"/>
      <c r="W11" s="8"/>
      <c r="X11" t="s" s="7">
        <v>417</v>
      </c>
      <c r="Y11" t="s" s="7">
        <v>418</v>
      </c>
      <c r="Z11" s="9">
        <v>1</v>
      </c>
      <c r="AA11" s="8"/>
      <c r="AB11" s="9">
        <v>1</v>
      </c>
      <c r="AC11" s="9">
        <v>1</v>
      </c>
      <c r="AD11" s="8"/>
      <c r="AE11" s="8"/>
      <c r="AF11" s="8"/>
      <c r="AG11" s="8"/>
      <c r="AH11" s="8"/>
      <c r="AI11" s="8"/>
      <c r="AJ11" s="8"/>
      <c r="AK11" s="8"/>
      <c r="AL11" s="8"/>
      <c r="AM11" s="8"/>
      <c r="AN11" s="8"/>
      <c r="AO11" s="8"/>
      <c r="AP11" s="8"/>
      <c r="AQ11" s="8"/>
      <c r="AR11" s="8"/>
      <c r="AS11" s="8"/>
      <c r="AT11" s="8"/>
      <c r="AU11" s="8"/>
      <c r="AV11" s="8"/>
      <c r="AW11" s="8"/>
      <c r="AX11" s="8"/>
      <c r="AY11" s="8"/>
    </row>
    <row r="12" ht="17.45" customHeight="1">
      <c r="A12" t="s" s="7">
        <v>405</v>
      </c>
      <c r="B12" t="s" s="7">
        <v>406</v>
      </c>
      <c r="C12" s="8"/>
      <c r="D12" t="s" s="7">
        <v>396</v>
      </c>
      <c r="E12" t="s" s="7">
        <v>407</v>
      </c>
      <c r="F12" t="s" s="7">
        <v>419</v>
      </c>
      <c r="G12" s="9">
        <v>1</v>
      </c>
      <c r="H12" s="8"/>
      <c r="I12" s="8"/>
      <c r="J12" s="8"/>
      <c r="K12" s="8"/>
      <c r="L12" s="8"/>
      <c r="M12" s="9">
        <v>1</v>
      </c>
      <c r="N12" s="8"/>
      <c r="O12" s="8"/>
      <c r="P12" s="8"/>
      <c r="Q12" s="9">
        <v>15</v>
      </c>
      <c r="R12" s="8"/>
      <c r="S12" s="35">
        <v>1</v>
      </c>
      <c r="T12" s="8"/>
      <c r="U12" s="8"/>
      <c r="V12" s="8"/>
      <c r="W12" s="8"/>
      <c r="X12" t="s" s="7">
        <v>420</v>
      </c>
      <c r="Y12" t="s" s="7">
        <v>246</v>
      </c>
      <c r="Z12" s="9">
        <v>1</v>
      </c>
      <c r="AA12" s="8"/>
      <c r="AB12" s="9">
        <v>1</v>
      </c>
      <c r="AC12" s="9">
        <v>1</v>
      </c>
      <c r="AD12" s="8"/>
      <c r="AE12" s="8"/>
      <c r="AF12" s="8"/>
      <c r="AG12" s="8"/>
      <c r="AH12" s="8"/>
      <c r="AI12" s="8"/>
      <c r="AJ12" s="8"/>
      <c r="AK12" s="8"/>
      <c r="AL12" s="8"/>
      <c r="AM12" s="8"/>
      <c r="AN12" s="8"/>
      <c r="AO12" s="8"/>
      <c r="AP12" s="8"/>
      <c r="AQ12" s="8"/>
      <c r="AR12" s="8"/>
      <c r="AS12" s="8"/>
      <c r="AT12" s="8"/>
      <c r="AU12" s="8"/>
      <c r="AV12" s="8"/>
      <c r="AW12" s="8"/>
      <c r="AX12" s="8"/>
      <c r="AY12" s="8"/>
    </row>
    <row r="13" ht="17" customHeight="1">
      <c r="A13" t="s" s="7">
        <v>285</v>
      </c>
      <c r="B13" s="9">
        <v>2</v>
      </c>
      <c r="C13" s="8"/>
      <c r="D13" s="8"/>
      <c r="E13" s="9">
        <v>4</v>
      </c>
      <c r="F13" s="9">
        <v>10</v>
      </c>
      <c r="G13" s="9">
        <f>SUM(G3:G12)</f>
        <v>5</v>
      </c>
      <c r="H13" s="9">
        <f>SUM(H3:H12)</f>
        <v>5</v>
      </c>
      <c r="I13" s="9">
        <f>SUM(I3:I12)</f>
        <v>0</v>
      </c>
      <c r="J13" s="9">
        <f>SUM(J3:J12)</f>
        <v>0</v>
      </c>
      <c r="K13" s="9">
        <f>SUM(K3:K12)</f>
        <v>1</v>
      </c>
      <c r="L13" s="9">
        <f>SUM(L3:L12)</f>
        <v>1</v>
      </c>
      <c r="M13" s="9">
        <f>SUM(M3:M12)</f>
        <v>1</v>
      </c>
      <c r="N13" s="9">
        <f>SUM(N3:N12)</f>
        <v>4</v>
      </c>
      <c r="O13" s="9">
        <f>SUM(O3:O12)</f>
        <v>0</v>
      </c>
      <c r="P13" s="9">
        <f>SUM(P3:P12)</f>
        <v>3</v>
      </c>
      <c r="Q13" s="9">
        <f>SUM(Q3:Q12)</f>
        <v>301</v>
      </c>
      <c r="R13" s="9">
        <f>SUM(R3:R12)</f>
        <v>2</v>
      </c>
      <c r="S13" s="9">
        <f>SUM(S3:S12)</f>
        <v>8</v>
      </c>
      <c r="T13" s="9">
        <f>SUM(T3:T12)</f>
        <v>0</v>
      </c>
      <c r="U13" s="9">
        <f>SUM(U3:U12)</f>
        <v>25</v>
      </c>
      <c r="V13" s="9">
        <f>SUM(V3:V12)</f>
        <v>5</v>
      </c>
      <c r="W13" s="9">
        <f>SUM(W3:W12)</f>
        <v>5</v>
      </c>
      <c r="X13" s="9">
        <f>SUM(X3:X12)</f>
        <v>0</v>
      </c>
      <c r="Y13" s="9">
        <f>SUM(Y3:Y12)</f>
        <v>0</v>
      </c>
      <c r="Z13" s="9">
        <f>SUM(Z3:Z12)</f>
        <v>9</v>
      </c>
      <c r="AA13" s="9">
        <f>SUM(AA3:AA12)</f>
        <v>0</v>
      </c>
      <c r="AB13" s="9">
        <f>SUM(AB3:AB12)</f>
        <v>9</v>
      </c>
      <c r="AC13" s="9">
        <f>SUM(AC3:AC12)</f>
        <v>6</v>
      </c>
      <c r="AD13" s="9">
        <v>4</v>
      </c>
      <c r="AE13" s="8"/>
      <c r="AF13" s="8"/>
      <c r="AG13" s="8"/>
      <c r="AH13" s="8"/>
      <c r="AI13" s="8"/>
      <c r="AJ13" s="8"/>
      <c r="AK13" s="8"/>
      <c r="AL13" s="8"/>
      <c r="AM13" s="8"/>
      <c r="AN13" s="8"/>
      <c r="AO13" s="8"/>
      <c r="AP13" s="8"/>
      <c r="AQ13" s="8"/>
      <c r="AR13" s="8"/>
      <c r="AS13" s="8"/>
      <c r="AT13" s="8"/>
      <c r="AU13" s="8"/>
      <c r="AV13" s="8"/>
      <c r="AW13" s="8"/>
      <c r="AX13" s="8"/>
      <c r="AY13"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AY28"/>
  <sheetViews>
    <sheetView workbookViewId="0" showGridLines="0" defaultGridColor="1"/>
  </sheetViews>
  <sheetFormatPr defaultColWidth="10.8333" defaultRowHeight="16" customHeight="1" outlineLevelRow="0" outlineLevelCol="0"/>
  <cols>
    <col min="1" max="23" width="10.8516" style="149" customWidth="1"/>
    <col min="24" max="24" width="18.5" style="149" customWidth="1"/>
    <col min="25" max="25" width="10.8516" style="149" customWidth="1"/>
    <col min="26" max="26" width="14.1719" style="149" customWidth="1"/>
    <col min="27" max="51" width="10.8516" style="149" customWidth="1"/>
    <col min="52" max="16384" width="10.8516" style="149" customWidth="1"/>
  </cols>
  <sheetData>
    <row r="1" ht="47" customHeight="1">
      <c r="A1" t="s" s="123">
        <v>6</v>
      </c>
      <c r="B1" t="s" s="123">
        <v>7</v>
      </c>
      <c r="C1" t="s" s="7">
        <v>8</v>
      </c>
      <c r="D1" t="s" s="14">
        <v>9</v>
      </c>
      <c r="E1" t="s" s="7">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18">
        <v>119</v>
      </c>
      <c r="B2" t="s" s="19">
        <v>120</v>
      </c>
      <c r="C2" s="124"/>
      <c r="D2" s="15"/>
      <c r="E2" s="8"/>
      <c r="F2" s="15"/>
      <c r="G2" t="s" s="14">
        <v>24</v>
      </c>
      <c r="H2" t="s" s="14">
        <v>25</v>
      </c>
      <c r="I2" t="s" s="14">
        <v>26</v>
      </c>
      <c r="J2" t="s" s="21">
        <v>27</v>
      </c>
      <c r="K2" t="s" s="125">
        <v>28</v>
      </c>
      <c r="L2" t="s" s="23">
        <v>29</v>
      </c>
      <c r="M2" t="s" s="14">
        <v>30</v>
      </c>
      <c r="N2" t="s" s="14">
        <v>31</v>
      </c>
      <c r="O2" t="s" s="14">
        <v>422</v>
      </c>
      <c r="P2" t="s" s="21">
        <v>33</v>
      </c>
      <c r="Q2" t="s" s="24">
        <v>121</v>
      </c>
      <c r="R2" t="s" s="125">
        <v>122</v>
      </c>
      <c r="S2" t="s" s="125">
        <v>123</v>
      </c>
      <c r="T2" t="s" s="126">
        <v>124</v>
      </c>
      <c r="U2" s="15"/>
      <c r="V2" s="15"/>
      <c r="W2" s="15"/>
      <c r="X2" s="15"/>
      <c r="Y2" s="15"/>
      <c r="Z2" s="15"/>
      <c r="AA2" t="s" s="14">
        <v>35</v>
      </c>
      <c r="AB2" t="s" s="14">
        <v>125</v>
      </c>
      <c r="AC2" t="s" s="14">
        <v>37</v>
      </c>
      <c r="AD2" t="s" s="7">
        <v>32</v>
      </c>
      <c r="AE2" s="8"/>
      <c r="AF2" s="8"/>
      <c r="AG2" s="8"/>
      <c r="AH2" s="8"/>
      <c r="AI2" s="8"/>
      <c r="AJ2" s="8"/>
      <c r="AK2" s="8"/>
      <c r="AL2" s="8"/>
      <c r="AM2" s="8"/>
      <c r="AN2" s="8"/>
      <c r="AO2" s="8"/>
      <c r="AP2" s="8"/>
      <c r="AQ2" s="8"/>
      <c r="AR2" s="8"/>
      <c r="AS2" s="8"/>
      <c r="AT2" s="8"/>
      <c r="AU2" s="8"/>
      <c r="AV2" s="8"/>
      <c r="AW2" s="8"/>
      <c r="AX2" s="8"/>
      <c r="AY2" s="8"/>
    </row>
    <row r="3" ht="19" customHeight="1">
      <c r="A3" t="s" s="127">
        <v>423</v>
      </c>
      <c r="B3" t="s" s="127">
        <v>424</v>
      </c>
      <c r="C3" s="8"/>
      <c r="D3" s="8"/>
      <c r="E3" t="s" s="7">
        <v>425</v>
      </c>
      <c r="F3" t="s" s="14">
        <v>426</v>
      </c>
      <c r="G3" s="15"/>
      <c r="H3" s="32">
        <v>1</v>
      </c>
      <c r="I3" s="15"/>
      <c r="J3" s="15"/>
      <c r="K3" s="33">
        <v>1</v>
      </c>
      <c r="L3" s="15"/>
      <c r="M3" s="15"/>
      <c r="N3" s="15"/>
      <c r="O3" s="15"/>
      <c r="P3" s="15"/>
      <c r="Q3" s="33">
        <v>45</v>
      </c>
      <c r="R3" s="33">
        <v>1</v>
      </c>
      <c r="S3" s="148"/>
      <c r="T3" s="15"/>
      <c r="U3" s="15"/>
      <c r="V3" s="15"/>
      <c r="W3" s="15"/>
      <c r="X3" t="s" s="14">
        <v>315</v>
      </c>
      <c r="Y3" s="15"/>
      <c r="Z3" s="32">
        <v>1</v>
      </c>
      <c r="AA3" s="32">
        <v>1</v>
      </c>
      <c r="AB3" s="15"/>
      <c r="AC3" s="32">
        <v>1</v>
      </c>
      <c r="AD3" s="15"/>
      <c r="AE3" s="8"/>
      <c r="AF3" s="8"/>
      <c r="AG3" s="8"/>
      <c r="AH3" s="8"/>
      <c r="AI3" s="8"/>
      <c r="AJ3" s="8"/>
      <c r="AK3" s="8"/>
      <c r="AL3" s="8"/>
      <c r="AM3" s="8"/>
      <c r="AN3" s="8"/>
      <c r="AO3" s="8"/>
      <c r="AP3" s="8"/>
      <c r="AQ3" s="8"/>
      <c r="AR3" s="8"/>
      <c r="AS3" s="8"/>
      <c r="AT3" s="8"/>
      <c r="AU3" s="8"/>
      <c r="AV3" s="8"/>
      <c r="AW3" s="8"/>
      <c r="AX3" s="8"/>
      <c r="AY3" s="8"/>
    </row>
    <row r="4" ht="17.45" customHeight="1">
      <c r="A4" t="s" s="7">
        <v>423</v>
      </c>
      <c r="B4" t="s" s="7">
        <v>424</v>
      </c>
      <c r="C4" s="8"/>
      <c r="D4" s="8"/>
      <c r="E4" t="s" s="7">
        <v>425</v>
      </c>
      <c r="F4" t="s" s="7">
        <v>164</v>
      </c>
      <c r="G4" s="9">
        <v>1</v>
      </c>
      <c r="H4" s="8"/>
      <c r="I4" s="8"/>
      <c r="J4" s="8"/>
      <c r="K4" s="8"/>
      <c r="L4" s="8"/>
      <c r="M4" s="36"/>
      <c r="N4" s="36"/>
      <c r="O4" s="36"/>
      <c r="P4" s="35">
        <v>1</v>
      </c>
      <c r="Q4" s="9">
        <v>41</v>
      </c>
      <c r="R4" s="36"/>
      <c r="S4" s="35">
        <v>1</v>
      </c>
      <c r="T4" s="8"/>
      <c r="U4" s="8"/>
      <c r="V4" s="8"/>
      <c r="W4" s="8"/>
      <c r="X4" t="s" s="7">
        <v>159</v>
      </c>
      <c r="Y4" s="8"/>
      <c r="Z4" s="8"/>
      <c r="AA4" s="8"/>
      <c r="AB4" s="9">
        <v>1</v>
      </c>
      <c r="AC4" s="9">
        <v>1</v>
      </c>
      <c r="AD4" s="8"/>
      <c r="AE4" t="s" s="7">
        <v>427</v>
      </c>
      <c r="AF4" s="8"/>
      <c r="AG4" s="8"/>
      <c r="AH4" s="8"/>
      <c r="AI4" s="8"/>
      <c r="AJ4" s="8"/>
      <c r="AK4" s="8"/>
      <c r="AL4" s="8"/>
      <c r="AM4" s="8"/>
      <c r="AN4" s="8"/>
      <c r="AO4" s="8"/>
      <c r="AP4" s="8"/>
      <c r="AQ4" s="8"/>
      <c r="AR4" s="8"/>
      <c r="AS4" s="8"/>
      <c r="AT4" s="8"/>
      <c r="AU4" s="8"/>
      <c r="AV4" s="8"/>
      <c r="AW4" s="8"/>
      <c r="AX4" s="8"/>
      <c r="AY4" s="8"/>
    </row>
    <row r="5" ht="17.45" customHeight="1">
      <c r="A5" t="s" s="7">
        <v>423</v>
      </c>
      <c r="B5" t="s" s="7">
        <v>424</v>
      </c>
      <c r="C5" s="8"/>
      <c r="D5" s="8"/>
      <c r="E5" t="s" s="7">
        <v>428</v>
      </c>
      <c r="F5" t="s" s="7">
        <v>49</v>
      </c>
      <c r="G5" s="9">
        <v>1</v>
      </c>
      <c r="H5" s="8"/>
      <c r="I5" s="8"/>
      <c r="J5" s="8"/>
      <c r="K5" s="8"/>
      <c r="L5" s="8"/>
      <c r="M5" s="36"/>
      <c r="N5" s="36"/>
      <c r="O5" s="36"/>
      <c r="P5" s="35">
        <v>1</v>
      </c>
      <c r="Q5" s="35">
        <v>28</v>
      </c>
      <c r="R5" s="36"/>
      <c r="S5" s="35">
        <v>1</v>
      </c>
      <c r="T5" s="36"/>
      <c r="U5" s="8"/>
      <c r="V5" s="8"/>
      <c r="W5" s="8"/>
      <c r="X5" t="s" s="7">
        <v>162</v>
      </c>
      <c r="Y5" s="8"/>
      <c r="Z5" s="8"/>
      <c r="AA5" s="8"/>
      <c r="AB5" s="9">
        <v>1</v>
      </c>
      <c r="AC5" s="8"/>
      <c r="AD5" t="s" s="7">
        <v>429</v>
      </c>
      <c r="AE5" s="8"/>
      <c r="AF5" s="8"/>
      <c r="AG5" s="8"/>
      <c r="AH5" s="8"/>
      <c r="AI5" s="8"/>
      <c r="AJ5" s="8"/>
      <c r="AK5" s="8"/>
      <c r="AL5" s="8"/>
      <c r="AM5" s="8"/>
      <c r="AN5" s="8"/>
      <c r="AO5" s="8"/>
      <c r="AP5" s="8"/>
      <c r="AQ5" s="8"/>
      <c r="AR5" s="8"/>
      <c r="AS5" s="8"/>
      <c r="AT5" s="8"/>
      <c r="AU5" s="8"/>
      <c r="AV5" s="8"/>
      <c r="AW5" s="8"/>
      <c r="AX5" s="8"/>
      <c r="AY5" s="8"/>
    </row>
    <row r="6" ht="17.45" customHeight="1">
      <c r="A6" t="s" s="7">
        <v>423</v>
      </c>
      <c r="B6" t="s" s="7">
        <v>424</v>
      </c>
      <c r="C6" s="8"/>
      <c r="D6" s="8"/>
      <c r="E6" t="s" s="7">
        <v>430</v>
      </c>
      <c r="F6" t="s" s="7">
        <v>431</v>
      </c>
      <c r="G6" s="9">
        <v>1</v>
      </c>
      <c r="H6" s="8"/>
      <c r="I6" s="8"/>
      <c r="J6" s="8"/>
      <c r="K6" s="8"/>
      <c r="L6" s="8"/>
      <c r="M6" s="36"/>
      <c r="N6" s="36"/>
      <c r="O6" s="36"/>
      <c r="P6" s="35">
        <v>1</v>
      </c>
      <c r="Q6" s="35">
        <v>22</v>
      </c>
      <c r="R6" s="36"/>
      <c r="S6" s="35">
        <v>1</v>
      </c>
      <c r="T6" s="36"/>
      <c r="U6" s="8"/>
      <c r="V6" s="8"/>
      <c r="W6" s="8"/>
      <c r="X6" t="s" s="7">
        <v>432</v>
      </c>
      <c r="Y6" s="8"/>
      <c r="Z6" s="8"/>
      <c r="AA6" s="8"/>
      <c r="AB6" s="9">
        <v>1</v>
      </c>
      <c r="AC6" s="8"/>
      <c r="AD6" t="s" s="7">
        <v>429</v>
      </c>
      <c r="AE6" s="8"/>
      <c r="AF6" s="8"/>
      <c r="AG6" s="8"/>
      <c r="AH6" s="8"/>
      <c r="AI6" s="8"/>
      <c r="AJ6" s="8"/>
      <c r="AK6" s="8"/>
      <c r="AL6" s="8"/>
      <c r="AM6" s="8"/>
      <c r="AN6" s="8"/>
      <c r="AO6" s="8"/>
      <c r="AP6" s="8"/>
      <c r="AQ6" s="8"/>
      <c r="AR6" s="8"/>
      <c r="AS6" s="8"/>
      <c r="AT6" s="8"/>
      <c r="AU6" s="8"/>
      <c r="AV6" s="8"/>
      <c r="AW6" s="8"/>
      <c r="AX6" s="8"/>
      <c r="AY6" s="8"/>
    </row>
    <row r="7" ht="17.45" customHeight="1">
      <c r="A7" t="s" s="7">
        <v>423</v>
      </c>
      <c r="B7" t="s" s="7">
        <v>424</v>
      </c>
      <c r="C7" s="8"/>
      <c r="D7" s="8"/>
      <c r="E7" t="s" s="7">
        <v>433</v>
      </c>
      <c r="F7" t="s" s="7">
        <v>434</v>
      </c>
      <c r="G7" s="9">
        <v>1</v>
      </c>
      <c r="H7" s="8"/>
      <c r="I7" s="8"/>
      <c r="J7" s="8"/>
      <c r="K7" s="8"/>
      <c r="L7" s="8"/>
      <c r="M7" s="36"/>
      <c r="N7" s="36"/>
      <c r="O7" s="36"/>
      <c r="P7" s="35">
        <v>1</v>
      </c>
      <c r="Q7" s="35">
        <v>20</v>
      </c>
      <c r="R7" s="36"/>
      <c r="S7" s="35">
        <v>1</v>
      </c>
      <c r="T7" s="36"/>
      <c r="U7" s="8"/>
      <c r="V7" s="8"/>
      <c r="W7" s="8"/>
      <c r="X7" t="s" s="7">
        <v>194</v>
      </c>
      <c r="Y7" s="8"/>
      <c r="Z7" s="8"/>
      <c r="AA7" s="8"/>
      <c r="AB7" s="9">
        <v>1</v>
      </c>
      <c r="AC7" s="8"/>
      <c r="AD7" t="s" s="7">
        <v>435</v>
      </c>
      <c r="AE7" s="8"/>
      <c r="AF7" s="8"/>
      <c r="AG7" s="8"/>
      <c r="AH7" s="8"/>
      <c r="AI7" s="8"/>
      <c r="AJ7" s="8"/>
      <c r="AK7" s="8"/>
      <c r="AL7" s="8"/>
      <c r="AM7" s="8"/>
      <c r="AN7" s="8"/>
      <c r="AO7" s="8"/>
      <c r="AP7" s="8"/>
      <c r="AQ7" s="8"/>
      <c r="AR7" s="8"/>
      <c r="AS7" s="8"/>
      <c r="AT7" s="8"/>
      <c r="AU7" s="8"/>
      <c r="AV7" s="8"/>
      <c r="AW7" s="8"/>
      <c r="AX7" s="8"/>
      <c r="AY7" s="8"/>
    </row>
    <row r="8" ht="17.45" customHeight="1">
      <c r="A8" t="s" s="7">
        <v>423</v>
      </c>
      <c r="B8" t="s" s="7">
        <v>424</v>
      </c>
      <c r="C8" s="8"/>
      <c r="D8" s="8"/>
      <c r="E8" t="s" s="7">
        <v>436</v>
      </c>
      <c r="F8" t="s" s="7">
        <v>437</v>
      </c>
      <c r="G8" s="9">
        <v>1</v>
      </c>
      <c r="H8" s="8"/>
      <c r="I8" s="8"/>
      <c r="J8" s="8"/>
      <c r="K8" s="8"/>
      <c r="L8" s="8"/>
      <c r="M8" s="36"/>
      <c r="N8" s="36"/>
      <c r="O8" s="36"/>
      <c r="P8" s="35">
        <v>1</v>
      </c>
      <c r="Q8" s="35">
        <v>20</v>
      </c>
      <c r="R8" s="36"/>
      <c r="S8" s="35">
        <v>1</v>
      </c>
      <c r="T8" s="36"/>
      <c r="U8" s="8"/>
      <c r="V8" s="8"/>
      <c r="W8" s="8"/>
      <c r="X8" t="s" s="7">
        <v>438</v>
      </c>
      <c r="Y8" s="8"/>
      <c r="Z8" s="8"/>
      <c r="AA8" s="8"/>
      <c r="AB8" s="9">
        <v>1</v>
      </c>
      <c r="AC8" s="8"/>
      <c r="AD8" t="s" s="7">
        <v>435</v>
      </c>
      <c r="AE8" s="8"/>
      <c r="AF8" s="8"/>
      <c r="AG8" s="8"/>
      <c r="AH8" s="8"/>
      <c r="AI8" s="8"/>
      <c r="AJ8" s="8"/>
      <c r="AK8" s="8"/>
      <c r="AL8" s="8"/>
      <c r="AM8" s="8"/>
      <c r="AN8" s="8"/>
      <c r="AO8" s="8"/>
      <c r="AP8" s="8"/>
      <c r="AQ8" s="8"/>
      <c r="AR8" s="8"/>
      <c r="AS8" s="8"/>
      <c r="AT8" s="8"/>
      <c r="AU8" s="8"/>
      <c r="AV8" s="8"/>
      <c r="AW8" s="8"/>
      <c r="AX8" s="8"/>
      <c r="AY8" s="8"/>
    </row>
    <row r="9" ht="17" customHeight="1">
      <c r="A9" t="s" s="7">
        <v>423</v>
      </c>
      <c r="B9" t="s" s="7">
        <v>424</v>
      </c>
      <c r="C9" s="8"/>
      <c r="D9" s="8"/>
      <c r="E9" t="s" s="7">
        <v>439</v>
      </c>
      <c r="F9" t="s" s="7">
        <v>440</v>
      </c>
      <c r="G9" s="8"/>
      <c r="H9" s="9">
        <v>1</v>
      </c>
      <c r="I9" s="8"/>
      <c r="J9" s="8"/>
      <c r="K9" s="8"/>
      <c r="L9" s="8"/>
      <c r="M9" s="36"/>
      <c r="N9" s="36"/>
      <c r="O9" t="s" s="47">
        <v>441</v>
      </c>
      <c r="P9" s="36"/>
      <c r="Q9" s="35">
        <v>36</v>
      </c>
      <c r="R9" s="35">
        <v>1</v>
      </c>
      <c r="S9" s="36"/>
      <c r="T9" s="8"/>
      <c r="U9" s="8"/>
      <c r="V9" s="8"/>
      <c r="W9" s="8"/>
      <c r="X9" t="s" s="7">
        <v>442</v>
      </c>
      <c r="Y9" s="8"/>
      <c r="Z9" s="8"/>
      <c r="AA9" s="8"/>
      <c r="AB9" s="9">
        <v>1</v>
      </c>
      <c r="AC9" s="8"/>
      <c r="AD9" t="s" s="7">
        <v>257</v>
      </c>
      <c r="AE9" s="8"/>
      <c r="AF9" s="8"/>
      <c r="AG9" s="8"/>
      <c r="AH9" s="8"/>
      <c r="AI9" s="8"/>
      <c r="AJ9" s="8"/>
      <c r="AK9" s="8"/>
      <c r="AL9" s="8"/>
      <c r="AM9" s="8"/>
      <c r="AN9" s="8"/>
      <c r="AO9" s="8"/>
      <c r="AP9" s="8"/>
      <c r="AQ9" s="8"/>
      <c r="AR9" s="8"/>
      <c r="AS9" s="8"/>
      <c r="AT9" s="8"/>
      <c r="AU9" s="8"/>
      <c r="AV9" s="8"/>
      <c r="AW9" s="8"/>
      <c r="AX9" s="8"/>
      <c r="AY9" s="8"/>
    </row>
    <row r="10" ht="17.45" customHeight="1">
      <c r="A10" t="s" s="7">
        <v>443</v>
      </c>
      <c r="B10" t="s" s="7">
        <v>444</v>
      </c>
      <c r="C10" s="8"/>
      <c r="D10" s="8"/>
      <c r="E10" t="s" s="7">
        <v>203</v>
      </c>
      <c r="F10" t="s" s="7">
        <v>43</v>
      </c>
      <c r="G10" s="9">
        <v>1</v>
      </c>
      <c r="H10" s="8"/>
      <c r="I10" s="8"/>
      <c r="J10" s="8"/>
      <c r="K10" s="8"/>
      <c r="L10" s="8"/>
      <c r="M10" s="8"/>
      <c r="N10" s="8"/>
      <c r="O10" s="8"/>
      <c r="P10" s="8"/>
      <c r="Q10" s="35">
        <v>49</v>
      </c>
      <c r="R10" s="8"/>
      <c r="S10" s="35">
        <v>1</v>
      </c>
      <c r="T10" s="8"/>
      <c r="U10" s="8"/>
      <c r="V10" s="8"/>
      <c r="W10" s="8"/>
      <c r="X10" t="s" s="7">
        <v>445</v>
      </c>
      <c r="Y10" s="8"/>
      <c r="Z10" s="8"/>
      <c r="AA10" s="8"/>
      <c r="AB10" s="9">
        <v>1</v>
      </c>
      <c r="AC10" s="9">
        <v>1</v>
      </c>
      <c r="AD10" s="8"/>
      <c r="AE10" s="8"/>
      <c r="AF10" s="8"/>
      <c r="AG10" s="8"/>
      <c r="AH10" s="8"/>
      <c r="AI10" s="8"/>
      <c r="AJ10" s="8"/>
      <c r="AK10" s="8"/>
      <c r="AL10" s="8"/>
      <c r="AM10" s="8"/>
      <c r="AN10" s="8"/>
      <c r="AO10" s="8"/>
      <c r="AP10" s="8"/>
      <c r="AQ10" s="8"/>
      <c r="AR10" s="8"/>
      <c r="AS10" s="8"/>
      <c r="AT10" s="8"/>
      <c r="AU10" s="8"/>
      <c r="AV10" s="8"/>
      <c r="AW10" s="8"/>
      <c r="AX10" s="8"/>
      <c r="AY10" s="8"/>
    </row>
    <row r="11" ht="17.45" customHeight="1">
      <c r="A11" t="s" s="7">
        <v>443</v>
      </c>
      <c r="B11" t="s" s="7">
        <v>444</v>
      </c>
      <c r="C11" s="8"/>
      <c r="D11" s="8"/>
      <c r="E11" t="s" s="7">
        <v>233</v>
      </c>
      <c r="F11" t="s" s="7">
        <v>241</v>
      </c>
      <c r="G11" s="9">
        <v>1</v>
      </c>
      <c r="H11" s="8"/>
      <c r="I11" s="8"/>
      <c r="J11" s="8"/>
      <c r="K11" s="9">
        <v>1</v>
      </c>
      <c r="L11" s="8"/>
      <c r="M11" s="36"/>
      <c r="N11" s="36"/>
      <c r="O11" s="36"/>
      <c r="P11" s="35">
        <v>1</v>
      </c>
      <c r="Q11" s="35">
        <v>60</v>
      </c>
      <c r="R11" s="36"/>
      <c r="S11" s="35">
        <v>1</v>
      </c>
      <c r="T11" s="36"/>
      <c r="U11" s="8"/>
      <c r="V11" s="8"/>
      <c r="W11" s="8"/>
      <c r="X11" t="s" s="7">
        <v>231</v>
      </c>
      <c r="Y11" s="8"/>
      <c r="Z11" s="8"/>
      <c r="AA11" s="8"/>
      <c r="AB11" s="9">
        <v>1</v>
      </c>
      <c r="AC11" s="8"/>
      <c r="AD11" t="s" s="7">
        <v>446</v>
      </c>
      <c r="AE11" s="8"/>
      <c r="AF11" s="8"/>
      <c r="AG11" s="8"/>
      <c r="AH11" s="8"/>
      <c r="AI11" s="8"/>
      <c r="AJ11" s="8"/>
      <c r="AK11" s="8"/>
      <c r="AL11" s="8"/>
      <c r="AM11" s="8"/>
      <c r="AN11" s="8"/>
      <c r="AO11" s="8"/>
      <c r="AP11" s="8"/>
      <c r="AQ11" s="8"/>
      <c r="AR11" s="8"/>
      <c r="AS11" s="8"/>
      <c r="AT11" s="8"/>
      <c r="AU11" s="8"/>
      <c r="AV11" s="8"/>
      <c r="AW11" s="8"/>
      <c r="AX11" s="8"/>
      <c r="AY11" s="8"/>
    </row>
    <row r="12" ht="17.45" customHeight="1">
      <c r="A12" t="s" s="7">
        <v>443</v>
      </c>
      <c r="B12" t="s" s="7">
        <v>444</v>
      </c>
      <c r="C12" s="8"/>
      <c r="D12" s="8"/>
      <c r="E12" t="s" s="7">
        <v>447</v>
      </c>
      <c r="F12" t="s" s="7">
        <v>154</v>
      </c>
      <c r="G12" s="9">
        <v>1</v>
      </c>
      <c r="H12" s="8"/>
      <c r="I12" s="8"/>
      <c r="J12" s="8"/>
      <c r="K12" s="8"/>
      <c r="L12" s="8"/>
      <c r="M12" s="8"/>
      <c r="N12" s="8"/>
      <c r="O12" s="8"/>
      <c r="P12" s="35">
        <v>1</v>
      </c>
      <c r="Q12" s="35">
        <v>51</v>
      </c>
      <c r="R12" s="8"/>
      <c r="S12" s="35">
        <v>1</v>
      </c>
      <c r="T12" s="8"/>
      <c r="U12" s="8"/>
      <c r="V12" s="8"/>
      <c r="W12" s="8"/>
      <c r="X12" t="s" s="7">
        <v>231</v>
      </c>
      <c r="Y12" s="8"/>
      <c r="Z12" s="8"/>
      <c r="AA12" s="8"/>
      <c r="AB12" s="9">
        <v>1</v>
      </c>
      <c r="AC12" s="9">
        <v>1</v>
      </c>
      <c r="AD12" s="8"/>
      <c r="AE12" s="8"/>
      <c r="AF12" s="8"/>
      <c r="AG12" s="8"/>
      <c r="AH12" s="8"/>
      <c r="AI12" s="8"/>
      <c r="AJ12" s="8"/>
      <c r="AK12" s="8"/>
      <c r="AL12" s="8"/>
      <c r="AM12" s="8"/>
      <c r="AN12" s="8"/>
      <c r="AO12" s="8"/>
      <c r="AP12" s="8"/>
      <c r="AQ12" s="8"/>
      <c r="AR12" s="8"/>
      <c r="AS12" s="8"/>
      <c r="AT12" s="8"/>
      <c r="AU12" s="8"/>
      <c r="AV12" s="8"/>
      <c r="AW12" s="8"/>
      <c r="AX12" s="8"/>
      <c r="AY12" s="8"/>
    </row>
    <row r="13" ht="17.45" customHeight="1">
      <c r="A13" t="s" s="7">
        <v>443</v>
      </c>
      <c r="B13" t="s" s="7">
        <v>444</v>
      </c>
      <c r="C13" s="8"/>
      <c r="D13" s="8"/>
      <c r="E13" t="s" s="7">
        <v>448</v>
      </c>
      <c r="F13" t="s" s="7">
        <v>260</v>
      </c>
      <c r="G13" s="9">
        <v>1</v>
      </c>
      <c r="H13" s="8"/>
      <c r="I13" s="8"/>
      <c r="J13" s="8"/>
      <c r="K13" s="8"/>
      <c r="L13" s="8"/>
      <c r="M13" s="8"/>
      <c r="N13" s="8"/>
      <c r="O13" s="8"/>
      <c r="P13" s="35">
        <v>1</v>
      </c>
      <c r="Q13" s="35">
        <v>42</v>
      </c>
      <c r="R13" s="8"/>
      <c r="S13" s="35">
        <v>1</v>
      </c>
      <c r="T13" s="8"/>
      <c r="U13" s="8"/>
      <c r="V13" s="8"/>
      <c r="W13" s="8"/>
      <c r="X13" t="s" s="7">
        <v>231</v>
      </c>
      <c r="Y13" s="8"/>
      <c r="Z13" s="8"/>
      <c r="AA13" s="8"/>
      <c r="AB13" s="9">
        <v>1</v>
      </c>
      <c r="AC13" s="8"/>
      <c r="AD13" t="s" s="7">
        <v>449</v>
      </c>
      <c r="AE13" s="8"/>
      <c r="AF13" s="8"/>
      <c r="AG13" s="8"/>
      <c r="AH13" s="8"/>
      <c r="AI13" s="8"/>
      <c r="AJ13" s="8"/>
      <c r="AK13" s="8"/>
      <c r="AL13" s="8"/>
      <c r="AM13" s="8"/>
      <c r="AN13" s="8"/>
      <c r="AO13" s="8"/>
      <c r="AP13" s="8"/>
      <c r="AQ13" s="8"/>
      <c r="AR13" s="8"/>
      <c r="AS13" s="8"/>
      <c r="AT13" s="8"/>
      <c r="AU13" s="8"/>
      <c r="AV13" s="8"/>
      <c r="AW13" s="8"/>
      <c r="AX13" s="8"/>
      <c r="AY13" s="8"/>
    </row>
    <row r="14" ht="17.45" customHeight="1">
      <c r="A14" t="s" s="7">
        <v>443</v>
      </c>
      <c r="B14" t="s" s="7">
        <v>444</v>
      </c>
      <c r="C14" s="8"/>
      <c r="D14" s="8"/>
      <c r="E14" t="s" s="7">
        <v>450</v>
      </c>
      <c r="F14" t="s" s="7">
        <v>451</v>
      </c>
      <c r="G14" s="9">
        <v>1</v>
      </c>
      <c r="H14" s="8"/>
      <c r="I14" s="8"/>
      <c r="J14" s="8"/>
      <c r="K14" s="8"/>
      <c r="L14" s="8"/>
      <c r="M14" s="8"/>
      <c r="N14" s="8"/>
      <c r="O14" s="8"/>
      <c r="P14" s="35">
        <v>1</v>
      </c>
      <c r="Q14" s="35">
        <v>16</v>
      </c>
      <c r="R14" s="8"/>
      <c r="S14" s="35">
        <v>1</v>
      </c>
      <c r="T14" s="8"/>
      <c r="U14" s="8"/>
      <c r="V14" s="8"/>
      <c r="W14" s="8"/>
      <c r="X14" t="s" s="7">
        <v>231</v>
      </c>
      <c r="Y14" s="8"/>
      <c r="Z14" s="8"/>
      <c r="AA14" s="8"/>
      <c r="AB14" s="9">
        <v>1</v>
      </c>
      <c r="AC14" s="9">
        <v>1</v>
      </c>
      <c r="AD14" s="8"/>
      <c r="AE14" s="8"/>
      <c r="AF14" s="8"/>
      <c r="AG14" s="8"/>
      <c r="AH14" s="8"/>
      <c r="AI14" s="8"/>
      <c r="AJ14" s="8"/>
      <c r="AK14" s="8"/>
      <c r="AL14" s="8"/>
      <c r="AM14" s="8"/>
      <c r="AN14" s="8"/>
      <c r="AO14" s="8"/>
      <c r="AP14" s="8"/>
      <c r="AQ14" s="8"/>
      <c r="AR14" s="8"/>
      <c r="AS14" s="8"/>
      <c r="AT14" s="8"/>
      <c r="AU14" s="8"/>
      <c r="AV14" s="8"/>
      <c r="AW14" s="8"/>
      <c r="AX14" s="8"/>
      <c r="AY14" s="8"/>
    </row>
    <row r="15" ht="17.45" customHeight="1">
      <c r="A15" t="s" s="7">
        <v>443</v>
      </c>
      <c r="B15" t="s" s="7">
        <v>444</v>
      </c>
      <c r="C15" s="8"/>
      <c r="D15" s="8"/>
      <c r="E15" t="s" s="7">
        <v>452</v>
      </c>
      <c r="F15" t="s" s="7">
        <v>453</v>
      </c>
      <c r="G15" s="8"/>
      <c r="H15" s="9">
        <v>1</v>
      </c>
      <c r="I15" s="8"/>
      <c r="J15" s="8"/>
      <c r="K15" s="8"/>
      <c r="L15" s="8"/>
      <c r="M15" s="8"/>
      <c r="N15" s="8"/>
      <c r="O15" s="8"/>
      <c r="P15" s="35">
        <v>1</v>
      </c>
      <c r="Q15" s="35">
        <v>16</v>
      </c>
      <c r="R15" s="8"/>
      <c r="S15" s="35">
        <v>1</v>
      </c>
      <c r="T15" s="8"/>
      <c r="U15" s="8"/>
      <c r="V15" s="8"/>
      <c r="W15" s="8"/>
      <c r="X15" t="s" s="7">
        <v>231</v>
      </c>
      <c r="Y15" s="8"/>
      <c r="Z15" s="8"/>
      <c r="AA15" s="8"/>
      <c r="AB15" s="9">
        <v>1</v>
      </c>
      <c r="AC15" s="9">
        <v>1</v>
      </c>
      <c r="AD15" s="8"/>
      <c r="AE15" s="8"/>
      <c r="AF15" s="8"/>
      <c r="AG15" s="8"/>
      <c r="AH15" s="8"/>
      <c r="AI15" s="8"/>
      <c r="AJ15" s="8"/>
      <c r="AK15" s="8"/>
      <c r="AL15" s="8"/>
      <c r="AM15" s="8"/>
      <c r="AN15" s="8"/>
      <c r="AO15" s="8"/>
      <c r="AP15" s="8"/>
      <c r="AQ15" s="8"/>
      <c r="AR15" s="8"/>
      <c r="AS15" s="8"/>
      <c r="AT15" s="8"/>
      <c r="AU15" s="8"/>
      <c r="AV15" s="8"/>
      <c r="AW15" s="8"/>
      <c r="AX15" s="8"/>
      <c r="AY15" s="8"/>
    </row>
    <row r="16" ht="17.45" customHeight="1">
      <c r="A16" t="s" s="7">
        <v>443</v>
      </c>
      <c r="B16" t="s" s="7">
        <v>444</v>
      </c>
      <c r="C16" s="8"/>
      <c r="D16" s="8"/>
      <c r="E16" t="s" s="7">
        <v>454</v>
      </c>
      <c r="F16" t="s" s="7">
        <v>455</v>
      </c>
      <c r="G16" s="9">
        <v>1</v>
      </c>
      <c r="H16" s="8"/>
      <c r="I16" s="8"/>
      <c r="J16" s="8"/>
      <c r="K16" s="8"/>
      <c r="L16" s="8"/>
      <c r="M16" s="8"/>
      <c r="N16" s="8"/>
      <c r="O16" s="8"/>
      <c r="P16" s="8"/>
      <c r="Q16" s="35">
        <v>75</v>
      </c>
      <c r="R16" s="8"/>
      <c r="S16" s="8"/>
      <c r="T16" s="9">
        <v>1</v>
      </c>
      <c r="U16" s="8"/>
      <c r="V16" s="8"/>
      <c r="W16" s="8"/>
      <c r="X16" t="s" s="7">
        <v>456</v>
      </c>
      <c r="Y16" s="8"/>
      <c r="Z16" s="8"/>
      <c r="AA16" s="8"/>
      <c r="AB16" s="8"/>
      <c r="AC16" s="9">
        <v>1</v>
      </c>
      <c r="AD16" s="8"/>
      <c r="AE16" t="s" s="7">
        <v>457</v>
      </c>
      <c r="AF16" s="8"/>
      <c r="AG16" s="8"/>
      <c r="AH16" s="8"/>
      <c r="AI16" s="8"/>
      <c r="AJ16" s="8"/>
      <c r="AK16" s="8"/>
      <c r="AL16" s="8"/>
      <c r="AM16" s="8"/>
      <c r="AN16" s="8"/>
      <c r="AO16" s="8"/>
      <c r="AP16" s="8"/>
      <c r="AQ16" s="8"/>
      <c r="AR16" s="8"/>
      <c r="AS16" s="8"/>
      <c r="AT16" s="8"/>
      <c r="AU16" s="8"/>
      <c r="AV16" s="8"/>
      <c r="AW16" s="8"/>
      <c r="AX16" s="8"/>
      <c r="AY16" s="8"/>
    </row>
    <row r="17" ht="17.45" customHeight="1">
      <c r="A17" t="s" s="7">
        <v>458</v>
      </c>
      <c r="B17" t="s" s="7">
        <v>459</v>
      </c>
      <c r="C17" s="8"/>
      <c r="D17" s="8"/>
      <c r="E17" t="s" s="7">
        <v>460</v>
      </c>
      <c r="F17" t="s" s="7">
        <v>392</v>
      </c>
      <c r="G17" s="8"/>
      <c r="H17" s="9">
        <v>1</v>
      </c>
      <c r="I17" s="8"/>
      <c r="J17" s="8"/>
      <c r="K17" s="9">
        <v>1</v>
      </c>
      <c r="L17" s="8"/>
      <c r="M17" s="8"/>
      <c r="N17" s="8"/>
      <c r="O17" s="8"/>
      <c r="P17" s="8"/>
      <c r="Q17" s="35">
        <v>41</v>
      </c>
      <c r="R17" s="8"/>
      <c r="S17" s="35">
        <v>1</v>
      </c>
      <c r="T17" s="8"/>
      <c r="U17" s="8"/>
      <c r="V17" s="8"/>
      <c r="W17" s="8"/>
      <c r="X17" t="s" s="7">
        <v>461</v>
      </c>
      <c r="Y17" s="8"/>
      <c r="Z17" s="8"/>
      <c r="AA17" s="9">
        <v>1</v>
      </c>
      <c r="AB17" s="8"/>
      <c r="AC17" s="9">
        <v>1</v>
      </c>
      <c r="AD17" s="8"/>
      <c r="AE17" s="8"/>
      <c r="AF17" s="8"/>
      <c r="AG17" s="8"/>
      <c r="AH17" s="8"/>
      <c r="AI17" s="8"/>
      <c r="AJ17" s="8"/>
      <c r="AK17" s="8"/>
      <c r="AL17" s="8"/>
      <c r="AM17" s="8"/>
      <c r="AN17" s="8"/>
      <c r="AO17" s="8"/>
      <c r="AP17" s="8"/>
      <c r="AQ17" s="8"/>
      <c r="AR17" s="8"/>
      <c r="AS17" s="8"/>
      <c r="AT17" s="8"/>
      <c r="AU17" s="8"/>
      <c r="AV17" s="8"/>
      <c r="AW17" s="8"/>
      <c r="AX17" s="8"/>
      <c r="AY17" s="8"/>
    </row>
    <row r="18" ht="17.45" customHeight="1">
      <c r="A18" t="s" s="7">
        <v>458</v>
      </c>
      <c r="B18" t="s" s="7">
        <v>459</v>
      </c>
      <c r="C18" s="8"/>
      <c r="D18" s="8"/>
      <c r="E18" t="s" s="7">
        <v>462</v>
      </c>
      <c r="F18" t="s" s="7">
        <v>463</v>
      </c>
      <c r="G18" s="9">
        <v>1</v>
      </c>
      <c r="H18" s="8"/>
      <c r="I18" s="8"/>
      <c r="J18" s="8"/>
      <c r="K18" s="8"/>
      <c r="L18" s="8"/>
      <c r="M18" s="8"/>
      <c r="N18" s="8"/>
      <c r="O18" t="s" s="7">
        <v>175</v>
      </c>
      <c r="P18" s="8"/>
      <c r="Q18" s="35">
        <v>40</v>
      </c>
      <c r="R18" s="8"/>
      <c r="S18" s="8"/>
      <c r="T18" s="9">
        <v>1</v>
      </c>
      <c r="U18" s="9">
        <v>2</v>
      </c>
      <c r="V18" s="9">
        <v>1</v>
      </c>
      <c r="W18" s="9">
        <v>1</v>
      </c>
      <c r="X18" s="8"/>
      <c r="Y18" s="8"/>
      <c r="Z18" s="8"/>
      <c r="AA18" s="8"/>
      <c r="AB18" s="8"/>
      <c r="AC18" s="9">
        <v>1</v>
      </c>
      <c r="AD18" s="8"/>
      <c r="AE18" s="8"/>
      <c r="AF18" s="8"/>
      <c r="AG18" s="8"/>
      <c r="AH18" s="8"/>
      <c r="AI18" s="8"/>
      <c r="AJ18" s="8"/>
      <c r="AK18" s="8"/>
      <c r="AL18" s="8"/>
      <c r="AM18" s="8"/>
      <c r="AN18" s="8"/>
      <c r="AO18" s="8"/>
      <c r="AP18" s="8"/>
      <c r="AQ18" s="8"/>
      <c r="AR18" s="8"/>
      <c r="AS18" s="8"/>
      <c r="AT18" s="8"/>
      <c r="AU18" s="8"/>
      <c r="AV18" s="8"/>
      <c r="AW18" s="8"/>
      <c r="AX18" s="8"/>
      <c r="AY18" s="8"/>
    </row>
    <row r="19" ht="17.45" customHeight="1">
      <c r="A19" t="s" s="7">
        <v>458</v>
      </c>
      <c r="B19" t="s" s="7">
        <v>459</v>
      </c>
      <c r="C19" s="8"/>
      <c r="D19" s="8"/>
      <c r="E19" t="s" s="7">
        <v>462</v>
      </c>
      <c r="F19" t="s" s="7">
        <v>464</v>
      </c>
      <c r="G19" s="9">
        <v>1</v>
      </c>
      <c r="H19" s="8"/>
      <c r="I19" s="8"/>
      <c r="J19" s="8"/>
      <c r="K19" s="8"/>
      <c r="L19" s="8"/>
      <c r="M19" s="8"/>
      <c r="N19" s="8"/>
      <c r="O19" t="s" s="7">
        <v>465</v>
      </c>
      <c r="P19" s="8"/>
      <c r="Q19" s="35">
        <v>12</v>
      </c>
      <c r="R19" s="8"/>
      <c r="S19" s="8"/>
      <c r="T19" s="8"/>
      <c r="U19" s="8"/>
      <c r="V19" s="8"/>
      <c r="W19" s="8"/>
      <c r="X19" s="8"/>
      <c r="Y19" s="8"/>
      <c r="Z19" s="8"/>
      <c r="AA19" s="8"/>
      <c r="AB19" s="8"/>
      <c r="AC19" s="8"/>
      <c r="AD19" t="s" s="7">
        <v>449</v>
      </c>
      <c r="AE19" s="8"/>
      <c r="AF19" s="8"/>
      <c r="AG19" s="8"/>
      <c r="AH19" s="8"/>
      <c r="AI19" s="8"/>
      <c r="AJ19" s="8"/>
      <c r="AK19" s="8"/>
      <c r="AL19" s="8"/>
      <c r="AM19" s="8"/>
      <c r="AN19" s="8"/>
      <c r="AO19" s="8"/>
      <c r="AP19" s="8"/>
      <c r="AQ19" s="8"/>
      <c r="AR19" s="8"/>
      <c r="AS19" s="8"/>
      <c r="AT19" s="8"/>
      <c r="AU19" s="8"/>
      <c r="AV19" s="8"/>
      <c r="AW19" s="8"/>
      <c r="AX19" s="8"/>
      <c r="AY19" s="8"/>
    </row>
    <row r="20" ht="17.45" customHeight="1">
      <c r="A20" t="s" s="7">
        <v>458</v>
      </c>
      <c r="B20" t="s" s="7">
        <v>459</v>
      </c>
      <c r="C20" s="8"/>
      <c r="D20" s="8"/>
      <c r="E20" t="s" s="7">
        <v>466</v>
      </c>
      <c r="F20" t="s" s="7">
        <v>467</v>
      </c>
      <c r="G20" s="9">
        <v>1</v>
      </c>
      <c r="H20" s="8"/>
      <c r="I20" s="8"/>
      <c r="J20" s="8"/>
      <c r="K20" s="8"/>
      <c r="L20" s="8"/>
      <c r="M20" s="8"/>
      <c r="N20" s="8"/>
      <c r="O20" s="8"/>
      <c r="P20" s="9">
        <v>1</v>
      </c>
      <c r="Q20" s="35">
        <v>23</v>
      </c>
      <c r="R20" s="8"/>
      <c r="S20" s="8"/>
      <c r="T20" s="8"/>
      <c r="U20" s="8"/>
      <c r="V20" s="8"/>
      <c r="W20" s="8"/>
      <c r="X20" t="s" s="7">
        <v>468</v>
      </c>
      <c r="Y20" s="8"/>
      <c r="Z20" s="8"/>
      <c r="AA20" s="8"/>
      <c r="AB20" s="9">
        <v>1</v>
      </c>
      <c r="AC20" s="8"/>
      <c r="AD20" t="s" s="7">
        <v>469</v>
      </c>
      <c r="AE20" s="8"/>
      <c r="AF20" s="8"/>
      <c r="AG20" s="8"/>
      <c r="AH20" s="8"/>
      <c r="AI20" s="8"/>
      <c r="AJ20" s="8"/>
      <c r="AK20" s="8"/>
      <c r="AL20" s="8"/>
      <c r="AM20" s="8"/>
      <c r="AN20" s="8"/>
      <c r="AO20" s="8"/>
      <c r="AP20" s="8"/>
      <c r="AQ20" s="8"/>
      <c r="AR20" s="8"/>
      <c r="AS20" s="8"/>
      <c r="AT20" s="8"/>
      <c r="AU20" s="8"/>
      <c r="AV20" s="8"/>
      <c r="AW20" s="8"/>
      <c r="AX20" s="8"/>
      <c r="AY20" s="8"/>
    </row>
    <row r="21" ht="17.45" customHeight="1">
      <c r="A21" t="s" s="7">
        <v>458</v>
      </c>
      <c r="B21" t="s" s="7">
        <v>459</v>
      </c>
      <c r="C21" s="8"/>
      <c r="D21" s="8"/>
      <c r="E21" t="s" s="7">
        <v>470</v>
      </c>
      <c r="F21" t="s" s="7">
        <v>471</v>
      </c>
      <c r="G21" s="9">
        <v>1</v>
      </c>
      <c r="H21" s="8"/>
      <c r="I21" s="8"/>
      <c r="J21" s="8"/>
      <c r="K21" s="8"/>
      <c r="L21" s="8"/>
      <c r="M21" s="8"/>
      <c r="N21" s="8"/>
      <c r="O21" s="8"/>
      <c r="P21" s="9">
        <v>1</v>
      </c>
      <c r="Q21" s="35">
        <v>43</v>
      </c>
      <c r="R21" s="8"/>
      <c r="S21" s="8"/>
      <c r="T21" s="8"/>
      <c r="U21" s="8"/>
      <c r="V21" s="8"/>
      <c r="W21" s="8"/>
      <c r="X21" t="s" s="7">
        <v>191</v>
      </c>
      <c r="Y21" s="8"/>
      <c r="Z21" s="8"/>
      <c r="AA21" s="8"/>
      <c r="AB21" s="9">
        <v>1</v>
      </c>
      <c r="AC21" s="8"/>
      <c r="AD21" t="s" s="7">
        <v>472</v>
      </c>
      <c r="AE21" s="8"/>
      <c r="AF21" s="8"/>
      <c r="AG21" s="8"/>
      <c r="AH21" s="8"/>
      <c r="AI21" s="8"/>
      <c r="AJ21" s="8"/>
      <c r="AK21" s="8"/>
      <c r="AL21" s="8"/>
      <c r="AM21" s="8"/>
      <c r="AN21" s="8"/>
      <c r="AO21" s="8"/>
      <c r="AP21" s="8"/>
      <c r="AQ21" s="8"/>
      <c r="AR21" s="8"/>
      <c r="AS21" s="8"/>
      <c r="AT21" s="8"/>
      <c r="AU21" s="8"/>
      <c r="AV21" s="8"/>
      <c r="AW21" s="8"/>
      <c r="AX21" s="8"/>
      <c r="AY21" s="8"/>
    </row>
    <row r="22" ht="17.45" customHeight="1">
      <c r="A22" t="s" s="7">
        <v>458</v>
      </c>
      <c r="B22" t="s" s="7">
        <v>459</v>
      </c>
      <c r="C22" s="8"/>
      <c r="D22" s="8"/>
      <c r="E22" t="s" s="7">
        <v>473</v>
      </c>
      <c r="F22" t="s" s="7">
        <v>474</v>
      </c>
      <c r="G22" s="9">
        <v>1</v>
      </c>
      <c r="H22" s="8"/>
      <c r="I22" s="8"/>
      <c r="J22" s="8"/>
      <c r="K22" s="8"/>
      <c r="L22" s="8"/>
      <c r="M22" s="8"/>
      <c r="N22" s="8"/>
      <c r="O22" s="8"/>
      <c r="P22" s="9">
        <v>1</v>
      </c>
      <c r="Q22" s="35">
        <v>24</v>
      </c>
      <c r="R22" s="8"/>
      <c r="S22" s="8"/>
      <c r="T22" s="8"/>
      <c r="U22" s="8"/>
      <c r="V22" s="8"/>
      <c r="W22" s="8"/>
      <c r="X22" t="s" s="7">
        <v>194</v>
      </c>
      <c r="Y22" s="8"/>
      <c r="Z22" s="8"/>
      <c r="AA22" s="8"/>
      <c r="AB22" s="9">
        <v>1</v>
      </c>
      <c r="AC22" s="9">
        <v>1</v>
      </c>
      <c r="AD22" s="8"/>
      <c r="AE22" s="8"/>
      <c r="AF22" s="8"/>
      <c r="AG22" s="8"/>
      <c r="AH22" s="8"/>
      <c r="AI22" s="8"/>
      <c r="AJ22" s="8"/>
      <c r="AK22" s="8"/>
      <c r="AL22" s="8"/>
      <c r="AM22" s="8"/>
      <c r="AN22" s="8"/>
      <c r="AO22" s="8"/>
      <c r="AP22" s="8"/>
      <c r="AQ22" s="8"/>
      <c r="AR22" s="8"/>
      <c r="AS22" s="8"/>
      <c r="AT22" s="8"/>
      <c r="AU22" s="8"/>
      <c r="AV22" s="8"/>
      <c r="AW22" s="8"/>
      <c r="AX22" s="8"/>
      <c r="AY22" s="8"/>
    </row>
    <row r="23" ht="17.45" customHeight="1">
      <c r="A23" t="s" s="7">
        <v>475</v>
      </c>
      <c r="B23" s="8"/>
      <c r="C23" s="8"/>
      <c r="D23" s="8"/>
      <c r="E23" t="s" s="7">
        <v>476</v>
      </c>
      <c r="F23" t="s" s="7">
        <v>477</v>
      </c>
      <c r="G23" s="8"/>
      <c r="H23" s="9">
        <v>1</v>
      </c>
      <c r="I23" s="8"/>
      <c r="J23" s="8"/>
      <c r="K23" s="9">
        <v>1</v>
      </c>
      <c r="L23" s="8"/>
      <c r="M23" s="8"/>
      <c r="N23" s="8"/>
      <c r="O23" s="8"/>
      <c r="P23" s="8"/>
      <c r="Q23" s="35">
        <v>42</v>
      </c>
      <c r="R23" s="9">
        <v>1</v>
      </c>
      <c r="S23" s="8"/>
      <c r="T23" s="8"/>
      <c r="U23" s="8"/>
      <c r="V23" s="8"/>
      <c r="W23" s="8"/>
      <c r="X23" t="s" s="7">
        <v>478</v>
      </c>
      <c r="Y23" s="8"/>
      <c r="Z23" s="8"/>
      <c r="AA23" s="9">
        <v>1</v>
      </c>
      <c r="AB23" s="8"/>
      <c r="AC23" s="9">
        <v>1</v>
      </c>
      <c r="AD23" s="8"/>
      <c r="AE23" s="8"/>
      <c r="AF23" s="8"/>
      <c r="AG23" s="8"/>
      <c r="AH23" s="8"/>
      <c r="AI23" s="8"/>
      <c r="AJ23" s="8"/>
      <c r="AK23" s="8"/>
      <c r="AL23" s="8"/>
      <c r="AM23" s="8"/>
      <c r="AN23" s="8"/>
      <c r="AO23" s="8"/>
      <c r="AP23" s="8"/>
      <c r="AQ23" s="8"/>
      <c r="AR23" s="8"/>
      <c r="AS23" s="8"/>
      <c r="AT23" s="8"/>
      <c r="AU23" s="8"/>
      <c r="AV23" s="8"/>
      <c r="AW23" s="8"/>
      <c r="AX23" s="8"/>
      <c r="AY23" s="8"/>
    </row>
    <row r="24" ht="17.45" customHeight="1">
      <c r="A24" t="s" s="7">
        <v>475</v>
      </c>
      <c r="B24" s="8"/>
      <c r="C24" s="8"/>
      <c r="D24" s="8"/>
      <c r="E24" t="s" s="7">
        <v>476</v>
      </c>
      <c r="F24" t="s" s="7">
        <v>202</v>
      </c>
      <c r="G24" s="9">
        <v>1</v>
      </c>
      <c r="H24" s="8"/>
      <c r="I24" s="8"/>
      <c r="J24" s="8"/>
      <c r="K24" s="8"/>
      <c r="L24" s="9">
        <v>1</v>
      </c>
      <c r="M24" s="8"/>
      <c r="N24" s="8"/>
      <c r="O24" s="8"/>
      <c r="P24" s="8"/>
      <c r="Q24" s="35">
        <v>46</v>
      </c>
      <c r="R24" s="9">
        <v>1</v>
      </c>
      <c r="S24" s="8"/>
      <c r="T24" s="8"/>
      <c r="U24" s="9">
        <v>13</v>
      </c>
      <c r="V24" s="8"/>
      <c r="W24" s="8"/>
      <c r="X24" s="8"/>
      <c r="Y24" s="8"/>
      <c r="Z24" s="8"/>
      <c r="AA24" s="8"/>
      <c r="AB24" s="8"/>
      <c r="AC24" s="9">
        <v>1</v>
      </c>
      <c r="AD24" s="8"/>
      <c r="AE24" s="8"/>
      <c r="AF24" s="8"/>
      <c r="AG24" s="8"/>
      <c r="AH24" s="8"/>
      <c r="AI24" s="8"/>
      <c r="AJ24" s="8"/>
      <c r="AK24" s="8"/>
      <c r="AL24" s="8"/>
      <c r="AM24" s="8"/>
      <c r="AN24" s="8"/>
      <c r="AO24" s="8"/>
      <c r="AP24" s="8"/>
      <c r="AQ24" s="8"/>
      <c r="AR24" s="8"/>
      <c r="AS24" s="8"/>
      <c r="AT24" s="8"/>
      <c r="AU24" s="8"/>
      <c r="AV24" s="8"/>
      <c r="AW24" s="8"/>
      <c r="AX24" s="8"/>
      <c r="AY24" s="8"/>
    </row>
    <row r="25" ht="17.45" customHeight="1">
      <c r="A25" t="s" s="7">
        <v>475</v>
      </c>
      <c r="B25" s="8"/>
      <c r="C25" s="8"/>
      <c r="D25" s="8"/>
      <c r="E25" t="s" s="7">
        <v>479</v>
      </c>
      <c r="F25" t="s" s="7">
        <v>480</v>
      </c>
      <c r="G25" s="9">
        <v>1</v>
      </c>
      <c r="H25" s="8"/>
      <c r="I25" s="8"/>
      <c r="J25" s="8"/>
      <c r="K25" s="8"/>
      <c r="L25" s="8"/>
      <c r="M25" s="8"/>
      <c r="N25" s="8"/>
      <c r="O25" s="8"/>
      <c r="P25" s="9">
        <v>1</v>
      </c>
      <c r="Q25" s="35">
        <v>46</v>
      </c>
      <c r="R25" s="8"/>
      <c r="S25" s="9">
        <v>1</v>
      </c>
      <c r="T25" s="8"/>
      <c r="U25" s="8"/>
      <c r="V25" s="8"/>
      <c r="W25" s="8"/>
      <c r="X25" t="s" s="7">
        <v>481</v>
      </c>
      <c r="Y25" s="8"/>
      <c r="Z25" s="8"/>
      <c r="AA25" s="8"/>
      <c r="AB25" s="9">
        <v>1</v>
      </c>
      <c r="AC25" s="8"/>
      <c r="AD25" t="s" s="7">
        <v>400</v>
      </c>
      <c r="AE25" s="8"/>
      <c r="AF25" s="8"/>
      <c r="AG25" s="8"/>
      <c r="AH25" s="8"/>
      <c r="AI25" s="8"/>
      <c r="AJ25" s="8"/>
      <c r="AK25" s="8"/>
      <c r="AL25" s="8"/>
      <c r="AM25" s="8"/>
      <c r="AN25" s="8"/>
      <c r="AO25" s="8"/>
      <c r="AP25" s="8"/>
      <c r="AQ25" s="8"/>
      <c r="AR25" s="8"/>
      <c r="AS25" s="8"/>
      <c r="AT25" s="8"/>
      <c r="AU25" s="8"/>
      <c r="AV25" s="8"/>
      <c r="AW25" s="8"/>
      <c r="AX25" s="8"/>
      <c r="AY25" s="8"/>
    </row>
    <row r="26" ht="17.45" customHeight="1">
      <c r="A26" t="s" s="7">
        <v>475</v>
      </c>
      <c r="B26" s="8"/>
      <c r="C26" s="8"/>
      <c r="D26" s="8"/>
      <c r="E26" t="s" s="7">
        <v>482</v>
      </c>
      <c r="F26" t="s" s="7">
        <v>51</v>
      </c>
      <c r="G26" s="9">
        <v>1</v>
      </c>
      <c r="H26" s="8"/>
      <c r="I26" s="8"/>
      <c r="J26" s="8"/>
      <c r="K26" s="8"/>
      <c r="L26" s="8"/>
      <c r="M26" s="8"/>
      <c r="N26" s="8"/>
      <c r="O26" s="8"/>
      <c r="P26" s="9">
        <v>1</v>
      </c>
      <c r="Q26" s="35">
        <v>26</v>
      </c>
      <c r="R26" s="8"/>
      <c r="S26" s="9">
        <v>1</v>
      </c>
      <c r="T26" s="8"/>
      <c r="U26" s="8"/>
      <c r="V26" s="8"/>
      <c r="W26" s="8"/>
      <c r="X26" t="s" s="7">
        <v>432</v>
      </c>
      <c r="Y26" s="8"/>
      <c r="Z26" s="8"/>
      <c r="AA26" s="8"/>
      <c r="AB26" s="9">
        <v>1</v>
      </c>
      <c r="AC26" s="8"/>
      <c r="AD26" t="s" s="7">
        <v>400</v>
      </c>
      <c r="AE26" s="8"/>
      <c r="AF26" s="8"/>
      <c r="AG26" s="8"/>
      <c r="AH26" s="8"/>
      <c r="AI26" s="8"/>
      <c r="AJ26" s="8"/>
      <c r="AK26" s="8"/>
      <c r="AL26" s="8"/>
      <c r="AM26" s="8"/>
      <c r="AN26" s="8"/>
      <c r="AO26" s="8"/>
      <c r="AP26" s="8"/>
      <c r="AQ26" s="8"/>
      <c r="AR26" s="8"/>
      <c r="AS26" s="8"/>
      <c r="AT26" s="8"/>
      <c r="AU26" s="8"/>
      <c r="AV26" s="8"/>
      <c r="AW26" s="8"/>
      <c r="AX26" s="8"/>
      <c r="AY26" s="8"/>
    </row>
    <row r="27" ht="17.45" customHeight="1">
      <c r="A27" t="s" s="7">
        <v>475</v>
      </c>
      <c r="B27" s="8"/>
      <c r="C27" s="8"/>
      <c r="D27" s="8"/>
      <c r="E27" t="s" s="7">
        <v>483</v>
      </c>
      <c r="F27" t="s" s="7">
        <v>484</v>
      </c>
      <c r="G27" s="9">
        <v>1</v>
      </c>
      <c r="H27" s="8"/>
      <c r="I27" s="8"/>
      <c r="J27" s="8"/>
      <c r="K27" s="8"/>
      <c r="L27" s="8"/>
      <c r="M27" s="8"/>
      <c r="N27" s="8"/>
      <c r="O27" s="8"/>
      <c r="P27" s="9">
        <v>1</v>
      </c>
      <c r="Q27" s="35">
        <v>17</v>
      </c>
      <c r="R27" s="8"/>
      <c r="S27" s="9">
        <v>1</v>
      </c>
      <c r="T27" s="8"/>
      <c r="U27" s="8"/>
      <c r="V27" s="8"/>
      <c r="W27" s="8"/>
      <c r="X27" t="s" s="7">
        <v>162</v>
      </c>
      <c r="Y27" s="8"/>
      <c r="Z27" s="8"/>
      <c r="AA27" s="8"/>
      <c r="AB27" s="9">
        <v>1</v>
      </c>
      <c r="AC27" s="8"/>
      <c r="AD27" t="s" s="7">
        <v>181</v>
      </c>
      <c r="AE27" s="8"/>
      <c r="AF27" s="8"/>
      <c r="AG27" s="8"/>
      <c r="AH27" s="8"/>
      <c r="AI27" s="8"/>
      <c r="AJ27" s="8"/>
      <c r="AK27" s="8"/>
      <c r="AL27" s="8"/>
      <c r="AM27" s="8"/>
      <c r="AN27" s="8"/>
      <c r="AO27" s="8"/>
      <c r="AP27" s="8"/>
      <c r="AQ27" s="8"/>
      <c r="AR27" s="8"/>
      <c r="AS27" s="8"/>
      <c r="AT27" s="8"/>
      <c r="AU27" s="8"/>
      <c r="AV27" s="8"/>
      <c r="AW27" s="8"/>
      <c r="AX27" s="8"/>
      <c r="AY27" s="8"/>
    </row>
    <row r="28" ht="17" customHeight="1">
      <c r="A28" t="s" s="7">
        <v>285</v>
      </c>
      <c r="B28" s="9">
        <v>4</v>
      </c>
      <c r="C28" s="8"/>
      <c r="D28" s="8"/>
      <c r="E28" s="9">
        <v>22</v>
      </c>
      <c r="F28" s="9">
        <f>SUM(G28:J28)</f>
        <v>25</v>
      </c>
      <c r="G28" s="9">
        <f>SUM(G3:G27)</f>
        <v>20</v>
      </c>
      <c r="H28" s="9">
        <f>SUM(H3:H27)</f>
        <v>5</v>
      </c>
      <c r="I28" s="9">
        <f>SUM(I3:I27)</f>
        <v>0</v>
      </c>
      <c r="J28" s="9">
        <f>SUM(J3:J27)</f>
        <v>0</v>
      </c>
      <c r="K28" s="9">
        <f>SUM(K3:K27)</f>
        <v>4</v>
      </c>
      <c r="L28" s="9">
        <f>SUM(L3:L27)</f>
        <v>1</v>
      </c>
      <c r="M28" s="9">
        <f>SUM(M3:M27)</f>
        <v>0</v>
      </c>
      <c r="N28" s="9">
        <f>SUM(N3:N27)</f>
        <v>0</v>
      </c>
      <c r="O28" s="9">
        <v>3</v>
      </c>
      <c r="P28" s="9">
        <f>SUM(P3:P27)</f>
        <v>16</v>
      </c>
      <c r="Q28" s="9">
        <f>SUM(Q3:Q27)</f>
        <v>881</v>
      </c>
      <c r="R28" s="9">
        <f>SUM(R3:R27)</f>
        <v>4</v>
      </c>
      <c r="S28" s="9">
        <f>SUM(S3:S27)</f>
        <v>15</v>
      </c>
      <c r="T28" s="9">
        <f>SUM(T3:T27)</f>
        <v>2</v>
      </c>
      <c r="U28" s="9">
        <f>SUM(U3:U27)</f>
        <v>15</v>
      </c>
      <c r="V28" s="9">
        <f>SUM(V3:V27)</f>
        <v>1</v>
      </c>
      <c r="W28" s="9">
        <f>SUM(W3:W27)</f>
        <v>1</v>
      </c>
      <c r="X28" s="9">
        <f>SUM(X3:X27)</f>
        <v>0</v>
      </c>
      <c r="Y28" s="9">
        <f>SUM(Y3:Y27)</f>
        <v>0</v>
      </c>
      <c r="Z28" s="9">
        <f>AA28+AB28</f>
        <v>21</v>
      </c>
      <c r="AA28" s="9">
        <f>SUM(AA3:AA27)</f>
        <v>3</v>
      </c>
      <c r="AB28" s="9">
        <f>SUM(AB3:AB27)</f>
        <v>18</v>
      </c>
      <c r="AC28" s="9">
        <f>SUM(AC3:AC27)</f>
        <v>12</v>
      </c>
      <c r="AD28" s="9">
        <f>F28-AC28</f>
        <v>13</v>
      </c>
      <c r="AE28" s="8"/>
      <c r="AF28" s="8"/>
      <c r="AG28" s="8"/>
      <c r="AH28" s="8"/>
      <c r="AI28" s="8"/>
      <c r="AJ28" s="8"/>
      <c r="AK28" s="8"/>
      <c r="AL28" s="8"/>
      <c r="AM28" s="8"/>
      <c r="AN28" s="8"/>
      <c r="AO28" s="8"/>
      <c r="AP28" s="8"/>
      <c r="AQ28" s="8"/>
      <c r="AR28" s="8"/>
      <c r="AS28" s="8"/>
      <c r="AT28" s="8"/>
      <c r="AU28" s="8"/>
      <c r="AV28" s="8"/>
      <c r="AW28" s="8"/>
      <c r="AX28" s="8"/>
      <c r="AY28"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AY22"/>
  <sheetViews>
    <sheetView workbookViewId="0" showGridLines="0" defaultGridColor="1"/>
  </sheetViews>
  <sheetFormatPr defaultColWidth="10.8333" defaultRowHeight="16" customHeight="1" outlineLevelRow="0" outlineLevelCol="0"/>
  <cols>
    <col min="1" max="10" width="10.8516" style="150" customWidth="1"/>
    <col min="11" max="11" width="14" style="150" customWidth="1"/>
    <col min="12" max="25" width="10.8516" style="150" customWidth="1"/>
    <col min="26" max="26" width="15.5" style="150" customWidth="1"/>
    <col min="27" max="51" width="10.8516" style="150" customWidth="1"/>
    <col min="52" max="16384" width="10.8516" style="150" customWidth="1"/>
  </cols>
  <sheetData>
    <row r="1" ht="47" customHeight="1">
      <c r="A1" t="s" s="123">
        <v>6</v>
      </c>
      <c r="B1" t="s" s="123">
        <v>7</v>
      </c>
      <c r="C1" t="s" s="7">
        <v>8</v>
      </c>
      <c r="D1" t="s" s="14">
        <v>9</v>
      </c>
      <c r="E1" t="s" s="7">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18">
        <v>119</v>
      </c>
      <c r="B2" t="s" s="19">
        <v>120</v>
      </c>
      <c r="C2" s="124"/>
      <c r="D2" s="15"/>
      <c r="E2" s="8"/>
      <c r="F2" s="15"/>
      <c r="G2" t="s" s="14">
        <v>24</v>
      </c>
      <c r="H2" t="s" s="14">
        <v>25</v>
      </c>
      <c r="I2" t="s" s="14">
        <v>26</v>
      </c>
      <c r="J2" t="s" s="21">
        <v>27</v>
      </c>
      <c r="K2" t="s" s="125">
        <v>28</v>
      </c>
      <c r="L2" t="s" s="23">
        <v>29</v>
      </c>
      <c r="M2" t="s" s="14">
        <v>30</v>
      </c>
      <c r="N2" t="s" s="14">
        <v>31</v>
      </c>
      <c r="O2" t="s" s="14">
        <v>32</v>
      </c>
      <c r="P2" t="s" s="21">
        <v>33</v>
      </c>
      <c r="Q2" t="s" s="24">
        <v>121</v>
      </c>
      <c r="R2" t="s" s="125">
        <v>122</v>
      </c>
      <c r="S2" t="s" s="125">
        <v>123</v>
      </c>
      <c r="T2" t="s" s="126">
        <v>124</v>
      </c>
      <c r="U2" s="15"/>
      <c r="V2" s="15"/>
      <c r="W2" s="15"/>
      <c r="X2" s="15"/>
      <c r="Y2" s="15"/>
      <c r="Z2" s="15"/>
      <c r="AA2" t="s" s="14">
        <v>35</v>
      </c>
      <c r="AB2" t="s" s="14">
        <v>125</v>
      </c>
      <c r="AC2" t="s" s="14">
        <v>37</v>
      </c>
      <c r="AD2" t="s" s="7">
        <v>486</v>
      </c>
      <c r="AE2" s="8"/>
      <c r="AF2" s="8"/>
      <c r="AG2" s="8"/>
      <c r="AH2" s="8"/>
      <c r="AI2" s="8"/>
      <c r="AJ2" s="8"/>
      <c r="AK2" s="8"/>
      <c r="AL2" s="8"/>
      <c r="AM2" s="8"/>
      <c r="AN2" s="8"/>
      <c r="AO2" s="8"/>
      <c r="AP2" s="8"/>
      <c r="AQ2" s="8"/>
      <c r="AR2" s="8"/>
      <c r="AS2" s="8"/>
      <c r="AT2" s="8"/>
      <c r="AU2" s="8"/>
      <c r="AV2" s="8"/>
      <c r="AW2" s="8"/>
      <c r="AX2" s="8"/>
      <c r="AY2" s="8"/>
    </row>
    <row r="3" ht="19" customHeight="1">
      <c r="A3" t="s" s="127">
        <v>487</v>
      </c>
      <c r="B3" s="142"/>
      <c r="C3" s="8"/>
      <c r="D3" t="s" s="7">
        <v>485</v>
      </c>
      <c r="E3" t="s" s="7">
        <v>488</v>
      </c>
      <c r="F3" t="s" s="14">
        <v>489</v>
      </c>
      <c r="G3" s="15"/>
      <c r="H3" s="32">
        <v>1</v>
      </c>
      <c r="I3" s="15"/>
      <c r="J3" s="15"/>
      <c r="K3" s="33">
        <v>1</v>
      </c>
      <c r="L3" s="15"/>
      <c r="M3" s="15"/>
      <c r="N3" s="15"/>
      <c r="O3" s="15"/>
      <c r="P3" s="15"/>
      <c r="Q3" s="33">
        <v>59</v>
      </c>
      <c r="R3" s="33">
        <v>1</v>
      </c>
      <c r="S3" s="148"/>
      <c r="T3" s="15"/>
      <c r="U3" s="15"/>
      <c r="V3" s="15"/>
      <c r="W3" s="15"/>
      <c r="X3" t="s" s="14">
        <v>371</v>
      </c>
      <c r="Y3" s="15"/>
      <c r="Z3" s="32">
        <v>1</v>
      </c>
      <c r="AA3" s="32">
        <v>1</v>
      </c>
      <c r="AB3" s="15"/>
      <c r="AC3" s="15"/>
      <c r="AD3" t="s" s="14">
        <v>187</v>
      </c>
      <c r="AE3" s="8"/>
      <c r="AF3" s="8"/>
      <c r="AG3" s="8"/>
      <c r="AH3" s="8"/>
      <c r="AI3" s="8"/>
      <c r="AJ3" s="8"/>
      <c r="AK3" s="8"/>
      <c r="AL3" s="8"/>
      <c r="AM3" s="8"/>
      <c r="AN3" s="8"/>
      <c r="AO3" s="8"/>
      <c r="AP3" s="8"/>
      <c r="AQ3" s="8"/>
      <c r="AR3" s="8"/>
      <c r="AS3" s="8"/>
      <c r="AT3" s="8"/>
      <c r="AU3" s="8"/>
      <c r="AV3" s="8"/>
      <c r="AW3" s="8"/>
      <c r="AX3" s="8"/>
      <c r="AY3" s="8"/>
    </row>
    <row r="4" ht="17.45" customHeight="1">
      <c r="A4" t="s" s="7">
        <v>487</v>
      </c>
      <c r="B4" s="8"/>
      <c r="C4" s="8"/>
      <c r="D4" t="s" s="7">
        <v>485</v>
      </c>
      <c r="E4" t="s" s="7">
        <v>488</v>
      </c>
      <c r="F4" t="s" s="7">
        <v>490</v>
      </c>
      <c r="G4" s="9">
        <v>1</v>
      </c>
      <c r="H4" s="8"/>
      <c r="I4" s="8"/>
      <c r="J4" s="8"/>
      <c r="K4" s="8"/>
      <c r="L4" s="9">
        <v>1</v>
      </c>
      <c r="M4" s="36"/>
      <c r="N4" s="36"/>
      <c r="O4" s="36"/>
      <c r="P4" s="36"/>
      <c r="Q4" s="9">
        <v>46</v>
      </c>
      <c r="R4" s="35">
        <v>1</v>
      </c>
      <c r="S4" s="36"/>
      <c r="T4" s="8"/>
      <c r="U4" s="9">
        <v>24</v>
      </c>
      <c r="V4" s="8"/>
      <c r="W4" s="8"/>
      <c r="X4" s="8"/>
      <c r="Y4" s="8"/>
      <c r="Z4" s="36"/>
      <c r="AA4" s="8"/>
      <c r="AB4" s="8"/>
      <c r="AC4" s="9">
        <v>1</v>
      </c>
      <c r="AD4" s="8"/>
      <c r="AE4" s="8"/>
      <c r="AF4" s="8"/>
      <c r="AG4" s="8"/>
      <c r="AH4" s="8"/>
      <c r="AI4" s="8"/>
      <c r="AJ4" s="8"/>
      <c r="AK4" s="8"/>
      <c r="AL4" s="8"/>
      <c r="AM4" s="8"/>
      <c r="AN4" s="8"/>
      <c r="AO4" s="8"/>
      <c r="AP4" s="8"/>
      <c r="AQ4" s="8"/>
      <c r="AR4" s="8"/>
      <c r="AS4" s="8"/>
      <c r="AT4" s="8"/>
      <c r="AU4" s="8"/>
      <c r="AV4" s="8"/>
      <c r="AW4" s="8"/>
      <c r="AX4" s="8"/>
      <c r="AY4" s="8"/>
    </row>
    <row r="5" ht="17.45" customHeight="1">
      <c r="A5" t="s" s="7">
        <v>487</v>
      </c>
      <c r="B5" s="8"/>
      <c r="C5" s="8"/>
      <c r="D5" t="s" s="7">
        <v>485</v>
      </c>
      <c r="E5" t="s" s="7">
        <v>491</v>
      </c>
      <c r="F5" t="s" s="7">
        <v>492</v>
      </c>
      <c r="G5" s="9">
        <v>1</v>
      </c>
      <c r="H5" s="8"/>
      <c r="I5" s="8"/>
      <c r="J5" s="8"/>
      <c r="K5" s="8"/>
      <c r="L5" s="8"/>
      <c r="M5" s="36"/>
      <c r="N5" s="36"/>
      <c r="O5" s="36"/>
      <c r="P5" s="35">
        <v>1</v>
      </c>
      <c r="Q5" s="35">
        <v>16</v>
      </c>
      <c r="R5" s="8"/>
      <c r="S5" s="35">
        <v>1</v>
      </c>
      <c r="T5" s="36"/>
      <c r="U5" s="8"/>
      <c r="V5" s="8"/>
      <c r="W5" s="8"/>
      <c r="X5" t="s" s="7">
        <v>159</v>
      </c>
      <c r="Y5" s="8"/>
      <c r="Z5" s="35">
        <v>1</v>
      </c>
      <c r="AA5" s="8"/>
      <c r="AB5" s="9">
        <v>1</v>
      </c>
      <c r="AC5" s="8"/>
      <c r="AD5" t="s" s="7">
        <v>146</v>
      </c>
      <c r="AE5" s="8"/>
      <c r="AF5" s="8"/>
      <c r="AG5" s="8"/>
      <c r="AH5" s="8"/>
      <c r="AI5" s="8"/>
      <c r="AJ5" s="8"/>
      <c r="AK5" s="8"/>
      <c r="AL5" s="8"/>
      <c r="AM5" s="8"/>
      <c r="AN5" s="8"/>
      <c r="AO5" s="8"/>
      <c r="AP5" s="8"/>
      <c r="AQ5" s="8"/>
      <c r="AR5" s="8"/>
      <c r="AS5" s="8"/>
      <c r="AT5" s="8"/>
      <c r="AU5" s="8"/>
      <c r="AV5" s="8"/>
      <c r="AW5" s="8"/>
      <c r="AX5" s="8"/>
      <c r="AY5" s="8"/>
    </row>
    <row r="6" ht="17.45" customHeight="1">
      <c r="A6" t="s" s="7">
        <v>487</v>
      </c>
      <c r="B6" s="8"/>
      <c r="C6" s="8"/>
      <c r="D6" t="s" s="7">
        <v>485</v>
      </c>
      <c r="E6" t="s" s="7">
        <v>493</v>
      </c>
      <c r="F6" t="s" s="7">
        <v>241</v>
      </c>
      <c r="G6" s="9">
        <v>1</v>
      </c>
      <c r="H6" s="8"/>
      <c r="I6" s="8"/>
      <c r="J6" s="8"/>
      <c r="K6" s="8"/>
      <c r="L6" s="8"/>
      <c r="M6" s="36"/>
      <c r="N6" s="36"/>
      <c r="O6" s="36"/>
      <c r="P6" s="35">
        <v>1</v>
      </c>
      <c r="Q6" s="35">
        <v>24</v>
      </c>
      <c r="R6" s="8"/>
      <c r="S6" s="35">
        <v>1</v>
      </c>
      <c r="T6" s="36"/>
      <c r="U6" s="8"/>
      <c r="V6" s="8"/>
      <c r="W6" s="8"/>
      <c r="X6" t="s" s="7">
        <v>165</v>
      </c>
      <c r="Y6" s="8"/>
      <c r="Z6" s="35">
        <v>1</v>
      </c>
      <c r="AA6" s="8"/>
      <c r="AB6" s="9">
        <v>1</v>
      </c>
      <c r="AC6" s="8"/>
      <c r="AD6" t="s" s="7">
        <v>377</v>
      </c>
      <c r="AE6" s="8"/>
      <c r="AF6" s="8"/>
      <c r="AG6" s="8"/>
      <c r="AH6" s="8"/>
      <c r="AI6" s="8"/>
      <c r="AJ6" s="8"/>
      <c r="AK6" s="8"/>
      <c r="AL6" s="8"/>
      <c r="AM6" s="8"/>
      <c r="AN6" s="8"/>
      <c r="AO6" s="8"/>
      <c r="AP6" s="8"/>
      <c r="AQ6" s="8"/>
      <c r="AR6" s="8"/>
      <c r="AS6" s="8"/>
      <c r="AT6" s="8"/>
      <c r="AU6" s="8"/>
      <c r="AV6" s="8"/>
      <c r="AW6" s="8"/>
      <c r="AX6" s="8"/>
      <c r="AY6" s="8"/>
    </row>
    <row r="7" ht="17.45" customHeight="1">
      <c r="A7" t="s" s="7">
        <v>487</v>
      </c>
      <c r="B7" s="8"/>
      <c r="C7" s="8"/>
      <c r="D7" t="s" s="7">
        <v>485</v>
      </c>
      <c r="E7" t="s" s="7">
        <v>494</v>
      </c>
      <c r="F7" t="s" s="7">
        <v>202</v>
      </c>
      <c r="G7" s="9">
        <v>1</v>
      </c>
      <c r="H7" s="8"/>
      <c r="I7" s="8"/>
      <c r="J7" s="8"/>
      <c r="K7" s="8"/>
      <c r="L7" s="8"/>
      <c r="M7" s="36"/>
      <c r="N7" s="36"/>
      <c r="O7" s="36"/>
      <c r="P7" s="35">
        <v>1</v>
      </c>
      <c r="Q7" s="35">
        <v>24</v>
      </c>
      <c r="R7" s="8"/>
      <c r="S7" s="35">
        <v>1</v>
      </c>
      <c r="T7" s="36"/>
      <c r="U7" s="8"/>
      <c r="V7" s="8"/>
      <c r="W7" s="8"/>
      <c r="X7" t="s" s="7">
        <v>162</v>
      </c>
      <c r="Y7" s="8"/>
      <c r="Z7" s="35">
        <v>1</v>
      </c>
      <c r="AA7" s="8"/>
      <c r="AB7" s="9">
        <v>1</v>
      </c>
      <c r="AC7" s="8"/>
      <c r="AD7" t="s" s="7">
        <v>472</v>
      </c>
      <c r="AE7" s="8"/>
      <c r="AF7" s="8"/>
      <c r="AG7" s="8"/>
      <c r="AH7" s="8"/>
      <c r="AI7" s="8"/>
      <c r="AJ7" s="8"/>
      <c r="AK7" s="8"/>
      <c r="AL7" s="8"/>
      <c r="AM7" s="8"/>
      <c r="AN7" s="8"/>
      <c r="AO7" s="8"/>
      <c r="AP7" s="8"/>
      <c r="AQ7" s="8"/>
      <c r="AR7" s="8"/>
      <c r="AS7" s="8"/>
      <c r="AT7" s="8"/>
      <c r="AU7" s="8"/>
      <c r="AV7" s="8"/>
      <c r="AW7" s="8"/>
      <c r="AX7" s="8"/>
      <c r="AY7" s="8"/>
    </row>
    <row r="8" ht="17.45" customHeight="1">
      <c r="A8" t="s" s="7">
        <v>487</v>
      </c>
      <c r="B8" s="8"/>
      <c r="C8" s="8"/>
      <c r="D8" t="s" s="7">
        <v>485</v>
      </c>
      <c r="E8" t="s" s="7">
        <v>495</v>
      </c>
      <c r="F8" t="s" s="7">
        <v>496</v>
      </c>
      <c r="G8" s="9">
        <v>1</v>
      </c>
      <c r="H8" s="8"/>
      <c r="I8" s="8"/>
      <c r="J8" s="8"/>
      <c r="K8" s="8"/>
      <c r="L8" s="8"/>
      <c r="M8" s="36"/>
      <c r="N8" s="36"/>
      <c r="O8" s="36"/>
      <c r="P8" s="35">
        <v>1</v>
      </c>
      <c r="Q8" s="35">
        <v>17</v>
      </c>
      <c r="R8" s="8"/>
      <c r="S8" s="35">
        <v>1</v>
      </c>
      <c r="T8" s="36"/>
      <c r="U8" s="8"/>
      <c r="V8" s="8"/>
      <c r="W8" s="8"/>
      <c r="X8" t="s" s="7">
        <v>497</v>
      </c>
      <c r="Y8" s="8"/>
      <c r="Z8" s="35">
        <v>1</v>
      </c>
      <c r="AA8" s="8"/>
      <c r="AB8" s="9">
        <v>1</v>
      </c>
      <c r="AC8" s="9">
        <v>1</v>
      </c>
      <c r="AD8" s="8"/>
      <c r="AE8" s="8"/>
      <c r="AF8" s="8"/>
      <c r="AG8" s="8"/>
      <c r="AH8" s="8"/>
      <c r="AI8" s="8"/>
      <c r="AJ8" s="8"/>
      <c r="AK8" s="8"/>
      <c r="AL8" s="8"/>
      <c r="AM8" s="8"/>
      <c r="AN8" s="8"/>
      <c r="AO8" s="8"/>
      <c r="AP8" s="8"/>
      <c r="AQ8" s="8"/>
      <c r="AR8" s="8"/>
      <c r="AS8" s="8"/>
      <c r="AT8" s="8"/>
      <c r="AU8" s="8"/>
      <c r="AV8" s="8"/>
      <c r="AW8" s="8"/>
      <c r="AX8" s="8"/>
      <c r="AY8" s="8"/>
    </row>
    <row r="9" ht="17.45" customHeight="1">
      <c r="A9" t="s" s="7">
        <v>498</v>
      </c>
      <c r="B9" t="s" s="7">
        <v>499</v>
      </c>
      <c r="C9" s="8"/>
      <c r="D9" t="s" s="7">
        <v>485</v>
      </c>
      <c r="E9" t="s" s="7">
        <v>500</v>
      </c>
      <c r="F9" t="s" s="7">
        <v>501</v>
      </c>
      <c r="G9" s="8"/>
      <c r="H9" s="9">
        <v>1</v>
      </c>
      <c r="I9" s="8"/>
      <c r="J9" s="8"/>
      <c r="K9" s="9">
        <v>1</v>
      </c>
      <c r="L9" s="8"/>
      <c r="M9" s="36"/>
      <c r="N9" s="36"/>
      <c r="O9" s="36"/>
      <c r="P9" s="36"/>
      <c r="Q9" s="35">
        <v>77</v>
      </c>
      <c r="R9" s="36"/>
      <c r="S9" s="36"/>
      <c r="T9" s="9">
        <v>1</v>
      </c>
      <c r="U9" s="8"/>
      <c r="V9" s="8"/>
      <c r="W9" s="8"/>
      <c r="X9" t="s" s="7">
        <v>502</v>
      </c>
      <c r="Y9" s="8"/>
      <c r="Z9" s="35">
        <v>1</v>
      </c>
      <c r="AA9" s="9">
        <v>1</v>
      </c>
      <c r="AB9" s="8"/>
      <c r="AC9" s="9">
        <v>1</v>
      </c>
      <c r="AD9" s="8"/>
      <c r="AE9" s="8"/>
      <c r="AF9" s="8"/>
      <c r="AG9" s="8"/>
      <c r="AH9" s="8"/>
      <c r="AI9" s="8"/>
      <c r="AJ9" s="8"/>
      <c r="AK9" s="8"/>
      <c r="AL9" s="8"/>
      <c r="AM9" s="8"/>
      <c r="AN9" s="8"/>
      <c r="AO9" s="8"/>
      <c r="AP9" s="8"/>
      <c r="AQ9" s="8"/>
      <c r="AR9" s="8"/>
      <c r="AS9" s="8"/>
      <c r="AT9" s="8"/>
      <c r="AU9" s="8"/>
      <c r="AV9" s="8"/>
      <c r="AW9" s="8"/>
      <c r="AX9" s="8"/>
      <c r="AY9" s="8"/>
    </row>
    <row r="10" ht="17.45" customHeight="1">
      <c r="A10" t="s" s="7">
        <v>498</v>
      </c>
      <c r="B10" t="s" s="7">
        <v>499</v>
      </c>
      <c r="C10" s="8"/>
      <c r="D10" t="s" s="7">
        <v>485</v>
      </c>
      <c r="E10" t="s" s="7">
        <v>500</v>
      </c>
      <c r="F10" t="s" s="7">
        <v>503</v>
      </c>
      <c r="G10" s="8"/>
      <c r="H10" s="9">
        <v>1</v>
      </c>
      <c r="I10" s="8"/>
      <c r="J10" s="8"/>
      <c r="K10" s="8"/>
      <c r="L10" s="8"/>
      <c r="M10" s="36"/>
      <c r="N10" s="35">
        <v>1</v>
      </c>
      <c r="O10" s="36"/>
      <c r="P10" s="36"/>
      <c r="Q10" s="35">
        <v>45</v>
      </c>
      <c r="R10" s="36"/>
      <c r="S10" s="35">
        <v>1</v>
      </c>
      <c r="T10" s="36"/>
      <c r="U10" s="8"/>
      <c r="V10" s="8"/>
      <c r="W10" s="8"/>
      <c r="X10" s="8"/>
      <c r="Y10" s="8"/>
      <c r="Z10" s="8"/>
      <c r="AA10" s="8"/>
      <c r="AB10" s="8"/>
      <c r="AC10" s="9">
        <v>1</v>
      </c>
      <c r="AD10" s="8"/>
      <c r="AE10" s="8"/>
      <c r="AF10" s="8"/>
      <c r="AG10" s="8"/>
      <c r="AH10" s="8"/>
      <c r="AI10" s="8"/>
      <c r="AJ10" s="8"/>
      <c r="AK10" s="8"/>
      <c r="AL10" s="8"/>
      <c r="AM10" s="8"/>
      <c r="AN10" s="8"/>
      <c r="AO10" s="8"/>
      <c r="AP10" s="8"/>
      <c r="AQ10" s="8"/>
      <c r="AR10" s="8"/>
      <c r="AS10" s="8"/>
      <c r="AT10" s="8"/>
      <c r="AU10" s="8"/>
      <c r="AV10" s="8"/>
      <c r="AW10" s="8"/>
      <c r="AX10" s="8"/>
      <c r="AY10" s="8"/>
    </row>
    <row r="11" ht="17.45" customHeight="1">
      <c r="A11" t="s" s="7">
        <v>498</v>
      </c>
      <c r="B11" t="s" s="7">
        <v>499</v>
      </c>
      <c r="C11" s="8"/>
      <c r="D11" t="s" s="7">
        <v>485</v>
      </c>
      <c r="E11" t="s" s="7">
        <v>500</v>
      </c>
      <c r="F11" t="s" s="7">
        <v>504</v>
      </c>
      <c r="G11" s="9">
        <v>1</v>
      </c>
      <c r="H11" s="8"/>
      <c r="I11" s="8"/>
      <c r="J11" s="8"/>
      <c r="K11" s="8"/>
      <c r="L11" s="8"/>
      <c r="M11" s="35">
        <v>1</v>
      </c>
      <c r="N11" s="36"/>
      <c r="O11" s="36"/>
      <c r="P11" s="36"/>
      <c r="Q11" s="35">
        <v>47</v>
      </c>
      <c r="R11" s="36"/>
      <c r="S11" s="35">
        <v>1</v>
      </c>
      <c r="T11" s="36"/>
      <c r="U11" s="8"/>
      <c r="V11" s="8"/>
      <c r="W11" s="8"/>
      <c r="X11" s="8"/>
      <c r="Y11" s="8"/>
      <c r="Z11" s="8"/>
      <c r="AA11" s="8"/>
      <c r="AB11" s="8"/>
      <c r="AC11" s="9">
        <v>1</v>
      </c>
      <c r="AD11" s="8"/>
      <c r="AE11" s="8"/>
      <c r="AF11" s="8"/>
      <c r="AG11" s="8"/>
      <c r="AH11" s="8"/>
      <c r="AI11" s="8"/>
      <c r="AJ11" s="8"/>
      <c r="AK11" s="8"/>
      <c r="AL11" s="8"/>
      <c r="AM11" s="8"/>
      <c r="AN11" s="8"/>
      <c r="AO11" s="8"/>
      <c r="AP11" s="8"/>
      <c r="AQ11" s="8"/>
      <c r="AR11" s="8"/>
      <c r="AS11" s="8"/>
      <c r="AT11" s="8"/>
      <c r="AU11" s="8"/>
      <c r="AV11" s="8"/>
      <c r="AW11" s="8"/>
      <c r="AX11" s="8"/>
      <c r="AY11" s="8"/>
    </row>
    <row r="12" ht="17.45" customHeight="1">
      <c r="A12" t="s" s="7">
        <v>498</v>
      </c>
      <c r="B12" t="s" s="7">
        <v>499</v>
      </c>
      <c r="C12" s="8"/>
      <c r="D12" t="s" s="7">
        <v>485</v>
      </c>
      <c r="E12" t="s" s="7">
        <v>505</v>
      </c>
      <c r="F12" t="s" s="7">
        <v>506</v>
      </c>
      <c r="G12" s="9">
        <v>1</v>
      </c>
      <c r="H12" s="8"/>
      <c r="I12" s="8"/>
      <c r="J12" s="8"/>
      <c r="K12" s="8"/>
      <c r="L12" s="8"/>
      <c r="M12" s="8"/>
      <c r="N12" s="8"/>
      <c r="O12" s="8"/>
      <c r="P12" s="9">
        <v>1</v>
      </c>
      <c r="Q12" s="35">
        <v>20</v>
      </c>
      <c r="R12" s="8"/>
      <c r="S12" s="35">
        <v>1</v>
      </c>
      <c r="T12" s="8"/>
      <c r="U12" s="8"/>
      <c r="V12" s="8"/>
      <c r="W12" s="8"/>
      <c r="X12" t="s" s="7">
        <v>507</v>
      </c>
      <c r="Y12" s="8"/>
      <c r="Z12" s="9">
        <v>1</v>
      </c>
      <c r="AA12" s="8"/>
      <c r="AB12" s="9">
        <v>1</v>
      </c>
      <c r="AC12" s="9">
        <v>1</v>
      </c>
      <c r="AD12" s="8"/>
      <c r="AE12" s="8"/>
      <c r="AF12" s="8"/>
      <c r="AG12" s="8"/>
      <c r="AH12" s="8"/>
      <c r="AI12" s="8"/>
      <c r="AJ12" s="8"/>
      <c r="AK12" s="8"/>
      <c r="AL12" s="8"/>
      <c r="AM12" s="8"/>
      <c r="AN12" s="8"/>
      <c r="AO12" s="8"/>
      <c r="AP12" s="8"/>
      <c r="AQ12" s="8"/>
      <c r="AR12" s="8"/>
      <c r="AS12" s="8"/>
      <c r="AT12" s="8"/>
      <c r="AU12" s="8"/>
      <c r="AV12" s="8"/>
      <c r="AW12" s="8"/>
      <c r="AX12" s="8"/>
      <c r="AY12" s="8"/>
    </row>
    <row r="13" ht="17.45" customHeight="1">
      <c r="A13" t="s" s="7">
        <v>498</v>
      </c>
      <c r="B13" t="s" s="7">
        <v>499</v>
      </c>
      <c r="C13" s="8"/>
      <c r="D13" t="s" s="7">
        <v>485</v>
      </c>
      <c r="E13" t="s" s="7">
        <v>508</v>
      </c>
      <c r="F13" t="s" s="7">
        <v>509</v>
      </c>
      <c r="G13" s="9">
        <v>1</v>
      </c>
      <c r="H13" s="8"/>
      <c r="I13" s="8"/>
      <c r="J13" s="8"/>
      <c r="K13" s="8"/>
      <c r="L13" s="8"/>
      <c r="M13" s="36"/>
      <c r="N13" s="36"/>
      <c r="O13" s="36"/>
      <c r="P13" s="35">
        <v>1</v>
      </c>
      <c r="Q13" s="35">
        <v>32</v>
      </c>
      <c r="R13" s="36"/>
      <c r="S13" s="35">
        <v>1</v>
      </c>
      <c r="T13" s="36"/>
      <c r="U13" s="8"/>
      <c r="V13" s="8"/>
      <c r="W13" s="8"/>
      <c r="X13" t="s" s="7">
        <v>507</v>
      </c>
      <c r="Y13" s="8"/>
      <c r="Z13" s="9">
        <v>1</v>
      </c>
      <c r="AA13" s="8"/>
      <c r="AB13" s="9">
        <v>1</v>
      </c>
      <c r="AC13" s="8"/>
      <c r="AD13" t="s" s="7">
        <v>400</v>
      </c>
      <c r="AE13" s="8"/>
      <c r="AF13" s="8"/>
      <c r="AG13" s="8"/>
      <c r="AH13" s="8"/>
      <c r="AI13" s="8"/>
      <c r="AJ13" s="8"/>
      <c r="AK13" s="8"/>
      <c r="AL13" s="8"/>
      <c r="AM13" s="8"/>
      <c r="AN13" s="8"/>
      <c r="AO13" s="8"/>
      <c r="AP13" s="8"/>
      <c r="AQ13" s="8"/>
      <c r="AR13" s="8"/>
      <c r="AS13" s="8"/>
      <c r="AT13" s="8"/>
      <c r="AU13" s="8"/>
      <c r="AV13" s="8"/>
      <c r="AW13" s="8"/>
      <c r="AX13" s="8"/>
      <c r="AY13" s="8"/>
    </row>
    <row r="14" ht="17.45" customHeight="1">
      <c r="A14" t="s" s="7">
        <v>498</v>
      </c>
      <c r="B14" t="s" s="7">
        <v>499</v>
      </c>
      <c r="C14" s="8"/>
      <c r="D14" t="s" s="7">
        <v>485</v>
      </c>
      <c r="E14" t="s" s="7">
        <v>510</v>
      </c>
      <c r="F14" t="s" s="7">
        <v>511</v>
      </c>
      <c r="G14" s="9">
        <v>1</v>
      </c>
      <c r="H14" s="8"/>
      <c r="I14" s="8"/>
      <c r="J14" s="8"/>
      <c r="K14" s="8"/>
      <c r="L14" s="8"/>
      <c r="M14" s="8"/>
      <c r="N14" s="8"/>
      <c r="O14" s="8"/>
      <c r="P14" s="9">
        <v>1</v>
      </c>
      <c r="Q14" s="35">
        <v>28</v>
      </c>
      <c r="R14" s="8"/>
      <c r="S14" s="35">
        <v>1</v>
      </c>
      <c r="T14" s="8"/>
      <c r="U14" s="8"/>
      <c r="V14" s="8"/>
      <c r="W14" s="8"/>
      <c r="X14" t="s" s="7">
        <v>507</v>
      </c>
      <c r="Y14" s="8"/>
      <c r="Z14" s="9">
        <v>1</v>
      </c>
      <c r="AA14" s="8"/>
      <c r="AB14" s="9">
        <v>1</v>
      </c>
      <c r="AC14" s="8"/>
      <c r="AD14" t="s" s="7">
        <v>400</v>
      </c>
      <c r="AE14" s="8"/>
      <c r="AF14" s="8"/>
      <c r="AG14" s="8"/>
      <c r="AH14" s="8"/>
      <c r="AI14" s="8"/>
      <c r="AJ14" s="8"/>
      <c r="AK14" s="8"/>
      <c r="AL14" s="8"/>
      <c r="AM14" s="8"/>
      <c r="AN14" s="8"/>
      <c r="AO14" s="8"/>
      <c r="AP14" s="8"/>
      <c r="AQ14" s="8"/>
      <c r="AR14" s="8"/>
      <c r="AS14" s="8"/>
      <c r="AT14" s="8"/>
      <c r="AU14" s="8"/>
      <c r="AV14" s="8"/>
      <c r="AW14" s="8"/>
      <c r="AX14" s="8"/>
      <c r="AY14" s="8"/>
    </row>
    <row r="15" ht="17.45" customHeight="1">
      <c r="A15" t="s" s="7">
        <v>512</v>
      </c>
      <c r="B15" s="8"/>
      <c r="C15" s="9">
        <v>3</v>
      </c>
      <c r="D15" t="s" s="7">
        <v>485</v>
      </c>
      <c r="E15" t="s" s="7">
        <v>250</v>
      </c>
      <c r="F15" t="s" s="7">
        <v>513</v>
      </c>
      <c r="G15" s="8"/>
      <c r="H15" s="9">
        <v>1</v>
      </c>
      <c r="I15" s="8"/>
      <c r="J15" s="8"/>
      <c r="K15" s="9">
        <v>1</v>
      </c>
      <c r="L15" s="8"/>
      <c r="M15" s="8"/>
      <c r="N15" s="8"/>
      <c r="O15" s="8"/>
      <c r="P15" s="8"/>
      <c r="Q15" s="35">
        <v>59</v>
      </c>
      <c r="R15" s="9">
        <v>1</v>
      </c>
      <c r="S15" s="8"/>
      <c r="T15" s="8"/>
      <c r="U15" s="8"/>
      <c r="V15" s="8"/>
      <c r="W15" s="8"/>
      <c r="X15" t="s" s="7">
        <v>265</v>
      </c>
      <c r="Y15" s="8"/>
      <c r="Z15" s="9">
        <v>1</v>
      </c>
      <c r="AA15" s="9">
        <v>1</v>
      </c>
      <c r="AB15" s="8"/>
      <c r="AC15" s="9">
        <v>1</v>
      </c>
      <c r="AD15" s="8"/>
      <c r="AE15" s="8"/>
      <c r="AF15" s="8"/>
      <c r="AG15" s="8"/>
      <c r="AH15" s="8"/>
      <c r="AI15" s="8"/>
      <c r="AJ15" s="8"/>
      <c r="AK15" s="8"/>
      <c r="AL15" s="8"/>
      <c r="AM15" s="8"/>
      <c r="AN15" s="8"/>
      <c r="AO15" s="8"/>
      <c r="AP15" s="8"/>
      <c r="AQ15" s="8"/>
      <c r="AR15" s="8"/>
      <c r="AS15" s="8"/>
      <c r="AT15" s="8"/>
      <c r="AU15" s="8"/>
      <c r="AV15" s="8"/>
      <c r="AW15" s="8"/>
      <c r="AX15" s="8"/>
      <c r="AY15" s="8"/>
    </row>
    <row r="16" ht="17.45" customHeight="1">
      <c r="A16" t="s" s="7">
        <v>512</v>
      </c>
      <c r="B16" s="8"/>
      <c r="C16" s="9">
        <v>3</v>
      </c>
      <c r="D16" t="s" s="7">
        <v>485</v>
      </c>
      <c r="E16" t="s" s="7">
        <v>250</v>
      </c>
      <c r="F16" t="s" s="7">
        <v>514</v>
      </c>
      <c r="G16" s="9">
        <v>1</v>
      </c>
      <c r="H16" s="8"/>
      <c r="I16" s="8"/>
      <c r="J16" s="8"/>
      <c r="K16" s="8"/>
      <c r="L16" s="9">
        <v>1</v>
      </c>
      <c r="M16" s="8"/>
      <c r="N16" s="8"/>
      <c r="O16" s="8"/>
      <c r="P16" s="8"/>
      <c r="Q16" s="35">
        <v>57</v>
      </c>
      <c r="R16" s="9">
        <v>1</v>
      </c>
      <c r="S16" s="8"/>
      <c r="T16" s="8"/>
      <c r="U16" s="9">
        <v>36</v>
      </c>
      <c r="V16" s="9">
        <v>4</v>
      </c>
      <c r="W16" s="9">
        <v>3</v>
      </c>
      <c r="X16" s="8"/>
      <c r="Y16" s="8"/>
      <c r="Z16" s="8"/>
      <c r="AA16" s="8"/>
      <c r="AB16" s="8"/>
      <c r="AC16" s="8"/>
      <c r="AD16" t="s" s="7">
        <v>515</v>
      </c>
      <c r="AE16" s="8"/>
      <c r="AF16" s="8"/>
      <c r="AG16" s="8"/>
      <c r="AH16" s="8"/>
      <c r="AI16" s="8"/>
      <c r="AJ16" s="8"/>
      <c r="AK16" s="8"/>
      <c r="AL16" s="8"/>
      <c r="AM16" s="8"/>
      <c r="AN16" s="8"/>
      <c r="AO16" s="8"/>
      <c r="AP16" s="8"/>
      <c r="AQ16" s="8"/>
      <c r="AR16" s="8"/>
      <c r="AS16" s="8"/>
      <c r="AT16" s="8"/>
      <c r="AU16" s="8"/>
      <c r="AV16" s="8"/>
      <c r="AW16" s="8"/>
      <c r="AX16" s="8"/>
      <c r="AY16" s="8"/>
    </row>
    <row r="17" ht="17.45" customHeight="1">
      <c r="A17" t="s" s="7">
        <v>512</v>
      </c>
      <c r="B17" s="8"/>
      <c r="C17" s="9">
        <v>3</v>
      </c>
      <c r="D17" t="s" s="7">
        <v>485</v>
      </c>
      <c r="E17" t="s" s="7">
        <v>250</v>
      </c>
      <c r="F17" t="s" s="7">
        <v>516</v>
      </c>
      <c r="G17" s="8"/>
      <c r="H17" s="8"/>
      <c r="I17" s="9">
        <v>1</v>
      </c>
      <c r="J17" s="8"/>
      <c r="K17" s="8"/>
      <c r="L17" s="8"/>
      <c r="M17" s="9">
        <v>1</v>
      </c>
      <c r="N17" s="8"/>
      <c r="O17" s="8"/>
      <c r="P17" s="8"/>
      <c r="Q17" s="35">
        <v>15</v>
      </c>
      <c r="R17" s="8"/>
      <c r="S17" s="35">
        <v>1</v>
      </c>
      <c r="T17" s="8"/>
      <c r="U17" s="8"/>
      <c r="V17" s="8"/>
      <c r="W17" s="8"/>
      <c r="X17" t="s" s="7">
        <v>517</v>
      </c>
      <c r="Y17" s="8"/>
      <c r="Z17" s="8"/>
      <c r="AA17" s="8"/>
      <c r="AB17" s="8"/>
      <c r="AC17" s="9">
        <v>1</v>
      </c>
      <c r="AD17" s="8"/>
      <c r="AE17" t="s" s="7">
        <v>518</v>
      </c>
      <c r="AF17" s="8"/>
      <c r="AG17" s="8"/>
      <c r="AH17" s="8"/>
      <c r="AI17" s="8"/>
      <c r="AJ17" s="8"/>
      <c r="AK17" s="8"/>
      <c r="AL17" s="8"/>
      <c r="AM17" s="8"/>
      <c r="AN17" s="8"/>
      <c r="AO17" s="8"/>
      <c r="AP17" s="8"/>
      <c r="AQ17" s="8"/>
      <c r="AR17" s="8"/>
      <c r="AS17" s="8"/>
      <c r="AT17" s="8"/>
      <c r="AU17" s="8"/>
      <c r="AV17" s="8"/>
      <c r="AW17" s="8"/>
      <c r="AX17" s="8"/>
      <c r="AY17" s="8"/>
    </row>
    <row r="18" ht="17.45" customHeight="1">
      <c r="A18" t="s" s="7">
        <v>512</v>
      </c>
      <c r="B18" s="8"/>
      <c r="C18" s="9">
        <v>3</v>
      </c>
      <c r="D18" t="s" s="7">
        <v>485</v>
      </c>
      <c r="E18" t="s" s="7">
        <v>519</v>
      </c>
      <c r="F18" t="s" s="7">
        <v>520</v>
      </c>
      <c r="G18" s="9">
        <v>1</v>
      </c>
      <c r="H18" s="8"/>
      <c r="I18" s="8"/>
      <c r="J18" s="8"/>
      <c r="K18" s="8"/>
      <c r="L18" s="8"/>
      <c r="M18" s="8"/>
      <c r="N18" s="8"/>
      <c r="O18" s="8"/>
      <c r="P18" s="9">
        <v>1</v>
      </c>
      <c r="Q18" s="35">
        <v>23</v>
      </c>
      <c r="R18" s="8"/>
      <c r="S18" s="35">
        <v>1</v>
      </c>
      <c r="T18" s="8"/>
      <c r="U18" s="8"/>
      <c r="V18" s="8"/>
      <c r="W18" s="8"/>
      <c r="X18" t="s" s="7">
        <v>191</v>
      </c>
      <c r="Y18" s="8"/>
      <c r="Z18" s="9">
        <v>1</v>
      </c>
      <c r="AA18" s="8"/>
      <c r="AB18" s="9">
        <v>1</v>
      </c>
      <c r="AC18" s="8"/>
      <c r="AD18" t="s" s="7">
        <v>446</v>
      </c>
      <c r="AE18" s="8"/>
      <c r="AF18" s="8"/>
      <c r="AG18" s="8"/>
      <c r="AH18" s="8"/>
      <c r="AI18" s="8"/>
      <c r="AJ18" s="8"/>
      <c r="AK18" s="8"/>
      <c r="AL18" s="8"/>
      <c r="AM18" s="8"/>
      <c r="AN18" s="8"/>
      <c r="AO18" s="8"/>
      <c r="AP18" s="8"/>
      <c r="AQ18" s="8"/>
      <c r="AR18" s="8"/>
      <c r="AS18" s="8"/>
      <c r="AT18" s="8"/>
      <c r="AU18" s="8"/>
      <c r="AV18" s="8"/>
      <c r="AW18" s="8"/>
      <c r="AX18" s="8"/>
      <c r="AY18" s="8"/>
    </row>
    <row r="19" ht="17.45" customHeight="1">
      <c r="A19" t="s" s="7">
        <v>512</v>
      </c>
      <c r="B19" s="8"/>
      <c r="C19" s="9">
        <v>3</v>
      </c>
      <c r="D19" t="s" s="7">
        <v>485</v>
      </c>
      <c r="E19" t="s" s="7">
        <v>521</v>
      </c>
      <c r="F19" t="s" s="7">
        <v>522</v>
      </c>
      <c r="G19" s="9">
        <v>1</v>
      </c>
      <c r="H19" s="8"/>
      <c r="I19" s="8"/>
      <c r="J19" s="8"/>
      <c r="K19" s="8"/>
      <c r="L19" s="8"/>
      <c r="M19" s="8"/>
      <c r="N19" s="8"/>
      <c r="O19" s="8"/>
      <c r="P19" s="9">
        <v>1</v>
      </c>
      <c r="Q19" s="35">
        <v>16</v>
      </c>
      <c r="R19" s="8"/>
      <c r="S19" s="35">
        <v>1</v>
      </c>
      <c r="T19" s="8"/>
      <c r="U19" s="8"/>
      <c r="V19" s="8"/>
      <c r="W19" s="8"/>
      <c r="X19" t="s" s="7">
        <v>194</v>
      </c>
      <c r="Y19" s="8"/>
      <c r="Z19" s="9">
        <v>1</v>
      </c>
      <c r="AA19" s="8"/>
      <c r="AB19" s="9">
        <v>1</v>
      </c>
      <c r="AC19" s="8"/>
      <c r="AD19" t="s" s="7">
        <v>446</v>
      </c>
      <c r="AE19" s="8"/>
      <c r="AF19" s="8"/>
      <c r="AG19" s="8"/>
      <c r="AH19" s="8"/>
      <c r="AI19" s="8"/>
      <c r="AJ19" s="8"/>
      <c r="AK19" s="8"/>
      <c r="AL19" s="8"/>
      <c r="AM19" s="8"/>
      <c r="AN19" s="8"/>
      <c r="AO19" s="8"/>
      <c r="AP19" s="8"/>
      <c r="AQ19" s="8"/>
      <c r="AR19" s="8"/>
      <c r="AS19" s="8"/>
      <c r="AT19" s="8"/>
      <c r="AU19" s="8"/>
      <c r="AV19" s="8"/>
      <c r="AW19" s="8"/>
      <c r="AX19" s="8"/>
      <c r="AY19" s="8"/>
    </row>
    <row r="20" ht="17.45" customHeight="1">
      <c r="A20" t="s" s="7">
        <v>523</v>
      </c>
      <c r="B20" s="8"/>
      <c r="C20" s="9">
        <v>1</v>
      </c>
      <c r="D20" t="s" s="7">
        <v>485</v>
      </c>
      <c r="E20" t="s" s="7">
        <v>524</v>
      </c>
      <c r="F20" t="s" s="7">
        <v>408</v>
      </c>
      <c r="G20" s="8"/>
      <c r="H20" s="9">
        <v>1</v>
      </c>
      <c r="I20" s="8"/>
      <c r="J20" s="8"/>
      <c r="K20" s="9">
        <v>1</v>
      </c>
      <c r="L20" s="8"/>
      <c r="M20" s="8"/>
      <c r="N20" s="8"/>
      <c r="O20" s="8"/>
      <c r="P20" s="8"/>
      <c r="Q20" s="35">
        <v>52</v>
      </c>
      <c r="R20" s="9">
        <v>1</v>
      </c>
      <c r="S20" s="8"/>
      <c r="T20" s="8"/>
      <c r="U20" s="8"/>
      <c r="V20" s="8"/>
      <c r="W20" s="8"/>
      <c r="X20" t="s" s="7">
        <v>525</v>
      </c>
      <c r="Y20" t="s" s="7">
        <v>526</v>
      </c>
      <c r="Z20" s="9">
        <v>1</v>
      </c>
      <c r="AA20" s="9">
        <v>1</v>
      </c>
      <c r="AB20" s="8"/>
      <c r="AC20" s="8"/>
      <c r="AD20" t="s" s="7">
        <v>527</v>
      </c>
      <c r="AE20" t="s" s="7">
        <v>528</v>
      </c>
      <c r="AF20" s="8"/>
      <c r="AG20" s="8"/>
      <c r="AH20" s="8"/>
      <c r="AI20" s="8"/>
      <c r="AJ20" s="8"/>
      <c r="AK20" s="8"/>
      <c r="AL20" s="8"/>
      <c r="AM20" s="8"/>
      <c r="AN20" s="8"/>
      <c r="AO20" s="8"/>
      <c r="AP20" s="8"/>
      <c r="AQ20" s="8"/>
      <c r="AR20" s="8"/>
      <c r="AS20" s="8"/>
      <c r="AT20" s="8"/>
      <c r="AU20" s="8"/>
      <c r="AV20" s="8"/>
      <c r="AW20" s="8"/>
      <c r="AX20" s="8"/>
      <c r="AY20" s="8"/>
    </row>
    <row r="21" ht="17.45" customHeight="1">
      <c r="A21" t="s" s="7">
        <v>523</v>
      </c>
      <c r="B21" s="8"/>
      <c r="C21" s="9">
        <v>1</v>
      </c>
      <c r="D21" t="s" s="7">
        <v>485</v>
      </c>
      <c r="E21" t="s" s="7">
        <v>529</v>
      </c>
      <c r="F21" t="s" s="7">
        <v>49</v>
      </c>
      <c r="G21" s="9">
        <v>1</v>
      </c>
      <c r="H21" s="8"/>
      <c r="I21" s="8"/>
      <c r="J21" s="8"/>
      <c r="K21" s="8"/>
      <c r="L21" s="8"/>
      <c r="M21" s="8"/>
      <c r="N21" s="8"/>
      <c r="O21" s="8"/>
      <c r="P21" s="9">
        <v>1</v>
      </c>
      <c r="Q21" s="35">
        <v>22</v>
      </c>
      <c r="R21" s="8"/>
      <c r="S21" s="35">
        <v>1</v>
      </c>
      <c r="T21" s="8"/>
      <c r="U21" s="8"/>
      <c r="V21" s="8"/>
      <c r="W21" s="8"/>
      <c r="X21" t="s" s="7">
        <v>530</v>
      </c>
      <c r="Y21" s="8"/>
      <c r="Z21" s="9">
        <v>1</v>
      </c>
      <c r="AA21" s="8"/>
      <c r="AB21" s="9">
        <v>1</v>
      </c>
      <c r="AC21" s="8"/>
      <c r="AD21" t="s" s="7">
        <v>435</v>
      </c>
      <c r="AE21" s="8"/>
      <c r="AF21" s="8"/>
      <c r="AG21" s="8"/>
      <c r="AH21" s="8"/>
      <c r="AI21" s="8"/>
      <c r="AJ21" s="8"/>
      <c r="AK21" s="8"/>
      <c r="AL21" s="8"/>
      <c r="AM21" s="8"/>
      <c r="AN21" s="8"/>
      <c r="AO21" s="8"/>
      <c r="AP21" s="8"/>
      <c r="AQ21" s="8"/>
      <c r="AR21" s="8"/>
      <c r="AS21" s="8"/>
      <c r="AT21" s="8"/>
      <c r="AU21" s="8"/>
      <c r="AV21" s="8"/>
      <c r="AW21" s="8"/>
      <c r="AX21" s="8"/>
      <c r="AY21" s="8"/>
    </row>
    <row r="22" ht="17" customHeight="1">
      <c r="A22" t="s" s="7">
        <v>285</v>
      </c>
      <c r="B22" s="9">
        <v>4</v>
      </c>
      <c r="C22" s="8"/>
      <c r="D22" s="8"/>
      <c r="E22" s="9">
        <v>14</v>
      </c>
      <c r="F22" s="9">
        <v>19</v>
      </c>
      <c r="G22" s="9">
        <f>SUM(G3:G21)</f>
        <v>13</v>
      </c>
      <c r="H22" s="9">
        <f>SUM(H3:H21)</f>
        <v>5</v>
      </c>
      <c r="I22" s="9">
        <f>SUM(I3:I21)</f>
        <v>1</v>
      </c>
      <c r="J22" s="9">
        <f>SUM(J3:J21)</f>
        <v>0</v>
      </c>
      <c r="K22" s="9">
        <f>SUM(K3:K21)</f>
        <v>4</v>
      </c>
      <c r="L22" s="9">
        <f>SUM(L3:L21)</f>
        <v>2</v>
      </c>
      <c r="M22" s="9">
        <f>SUM(M3:M21)</f>
        <v>2</v>
      </c>
      <c r="N22" s="9">
        <f>SUM(N3:N21)</f>
        <v>1</v>
      </c>
      <c r="O22" s="9">
        <f>SUM(O3:O21)</f>
        <v>0</v>
      </c>
      <c r="P22" s="9">
        <f>SUM(P3:P21)</f>
        <v>10</v>
      </c>
      <c r="Q22" s="9">
        <f>SUM(Q3:Q21)</f>
        <v>679</v>
      </c>
      <c r="R22" s="9">
        <f>SUM(R3:R21)</f>
        <v>5</v>
      </c>
      <c r="S22" s="9">
        <f>SUM(S3:S21)</f>
        <v>13</v>
      </c>
      <c r="T22" s="9">
        <f>SUM(T3:T21)</f>
        <v>1</v>
      </c>
      <c r="U22" s="9">
        <f>SUM(U3:U21)</f>
        <v>60</v>
      </c>
      <c r="V22" s="9">
        <f>SUM(V3:V21)</f>
        <v>4</v>
      </c>
      <c r="W22" s="9">
        <f>SUM(W3:W21)</f>
        <v>3</v>
      </c>
      <c r="X22" s="9">
        <f>SUM(X3:X21)</f>
        <v>0</v>
      </c>
      <c r="Y22" s="9">
        <f>SUM(Y3:Y21)</f>
        <v>0</v>
      </c>
      <c r="Z22" s="9">
        <f>SUM(Z3:Z21)</f>
        <v>14</v>
      </c>
      <c r="AA22" s="9">
        <f>SUM(AA3:AA21)</f>
        <v>4</v>
      </c>
      <c r="AB22" s="9">
        <f>SUM(AB3:AB21)</f>
        <v>10</v>
      </c>
      <c r="AC22" s="9">
        <f>SUM(AC3:AC21)</f>
        <v>8</v>
      </c>
      <c r="AD22" s="9">
        <v>11</v>
      </c>
      <c r="AE22" s="8"/>
      <c r="AF22" s="8"/>
      <c r="AG22" s="8"/>
      <c r="AH22" s="8"/>
      <c r="AI22" s="8"/>
      <c r="AJ22" s="8"/>
      <c r="AK22" s="8"/>
      <c r="AL22" s="8"/>
      <c r="AM22" s="8"/>
      <c r="AN22" s="8"/>
      <c r="AO22" s="8"/>
      <c r="AP22" s="8"/>
      <c r="AQ22" s="8"/>
      <c r="AR22" s="8"/>
      <c r="AS22" s="8"/>
      <c r="AT22" s="8"/>
      <c r="AU22" s="8"/>
      <c r="AV22" s="8"/>
      <c r="AW22" s="8"/>
      <c r="AX22" s="8"/>
      <c r="AY22"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AY54"/>
  <sheetViews>
    <sheetView workbookViewId="0" showGridLines="0" defaultGridColor="1"/>
  </sheetViews>
  <sheetFormatPr defaultColWidth="10.8333" defaultRowHeight="16" customHeight="1" outlineLevelRow="0" outlineLevelCol="0"/>
  <cols>
    <col min="1" max="5" width="10.8516" style="151" customWidth="1"/>
    <col min="6" max="6" width="15" style="151" customWidth="1"/>
    <col min="7" max="25" width="10.8516" style="151" customWidth="1"/>
    <col min="26" max="26" width="13" style="151" customWidth="1"/>
    <col min="27" max="51" width="10.8516" style="151" customWidth="1"/>
    <col min="52" max="16384" width="10.8516" style="151" customWidth="1"/>
  </cols>
  <sheetData>
    <row r="1" ht="47" customHeight="1">
      <c r="A1" t="s" s="123">
        <v>6</v>
      </c>
      <c r="B1" t="s" s="123">
        <v>7</v>
      </c>
      <c r="C1" t="s" s="7">
        <v>8</v>
      </c>
      <c r="D1" t="s" s="14">
        <v>9</v>
      </c>
      <c r="E1" t="s" s="7">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18">
        <v>119</v>
      </c>
      <c r="B2" t="s" s="19">
        <v>120</v>
      </c>
      <c r="C2" s="124"/>
      <c r="D2" s="15"/>
      <c r="E2" s="8"/>
      <c r="F2" s="15"/>
      <c r="G2" t="s" s="14">
        <v>24</v>
      </c>
      <c r="H2" t="s" s="14">
        <v>25</v>
      </c>
      <c r="I2" t="s" s="14">
        <v>26</v>
      </c>
      <c r="J2" t="s" s="21">
        <v>27</v>
      </c>
      <c r="K2" t="s" s="125">
        <v>28</v>
      </c>
      <c r="L2" t="s" s="23">
        <v>29</v>
      </c>
      <c r="M2" t="s" s="14">
        <v>30</v>
      </c>
      <c r="N2" t="s" s="14">
        <v>31</v>
      </c>
      <c r="O2" t="s" s="14">
        <v>32</v>
      </c>
      <c r="P2" t="s" s="21">
        <v>33</v>
      </c>
      <c r="Q2" t="s" s="24">
        <v>121</v>
      </c>
      <c r="R2" t="s" s="125">
        <v>122</v>
      </c>
      <c r="S2" t="s" s="125">
        <v>123</v>
      </c>
      <c r="T2" t="s" s="126">
        <v>124</v>
      </c>
      <c r="U2" s="15"/>
      <c r="V2" s="15"/>
      <c r="W2" s="15"/>
      <c r="X2" s="15"/>
      <c r="Y2" s="15"/>
      <c r="Z2" s="15"/>
      <c r="AA2" t="s" s="14">
        <v>35</v>
      </c>
      <c r="AB2" t="s" s="14">
        <v>125</v>
      </c>
      <c r="AC2" t="s" s="14">
        <v>37</v>
      </c>
      <c r="AD2" t="s" s="7">
        <v>32</v>
      </c>
      <c r="AE2" s="8"/>
      <c r="AF2" s="8"/>
      <c r="AG2" s="8"/>
      <c r="AH2" s="8"/>
      <c r="AI2" s="8"/>
      <c r="AJ2" s="8"/>
      <c r="AK2" s="8"/>
      <c r="AL2" s="8"/>
      <c r="AM2" s="8"/>
      <c r="AN2" s="8"/>
      <c r="AO2" s="8"/>
      <c r="AP2" s="8"/>
      <c r="AQ2" s="8"/>
      <c r="AR2" s="8"/>
      <c r="AS2" s="8"/>
      <c r="AT2" s="8"/>
      <c r="AU2" s="8"/>
      <c r="AV2" s="8"/>
      <c r="AW2" s="8"/>
      <c r="AX2" s="8"/>
      <c r="AY2" s="8"/>
    </row>
    <row r="3" ht="19" customHeight="1">
      <c r="A3" t="s" s="127">
        <v>532</v>
      </c>
      <c r="B3" s="142"/>
      <c r="C3" s="8"/>
      <c r="D3" t="s" s="7">
        <v>531</v>
      </c>
      <c r="E3" t="s" s="7">
        <v>533</v>
      </c>
      <c r="F3" t="s" s="14">
        <v>534</v>
      </c>
      <c r="G3" s="15"/>
      <c r="H3" s="32">
        <v>1</v>
      </c>
      <c r="I3" s="15"/>
      <c r="J3" s="15"/>
      <c r="K3" s="33">
        <v>1</v>
      </c>
      <c r="L3" s="15"/>
      <c r="M3" s="15"/>
      <c r="N3" s="15"/>
      <c r="O3" s="15"/>
      <c r="P3" s="15"/>
      <c r="Q3" s="33">
        <v>62</v>
      </c>
      <c r="R3" s="33">
        <v>1</v>
      </c>
      <c r="S3" s="148"/>
      <c r="T3" s="15"/>
      <c r="U3" s="15"/>
      <c r="V3" s="15"/>
      <c r="W3" s="15"/>
      <c r="X3" t="s" s="14">
        <v>535</v>
      </c>
      <c r="Y3" t="s" s="14">
        <v>536</v>
      </c>
      <c r="Z3" s="32">
        <v>1</v>
      </c>
      <c r="AA3" s="32">
        <v>1</v>
      </c>
      <c r="AB3" s="15"/>
      <c r="AC3" s="15"/>
      <c r="AD3" t="s" s="14">
        <v>435</v>
      </c>
      <c r="AE3" s="8"/>
      <c r="AF3" s="8"/>
      <c r="AG3" s="8"/>
      <c r="AH3" s="8"/>
      <c r="AI3" s="8"/>
      <c r="AJ3" s="8"/>
      <c r="AK3" s="8"/>
      <c r="AL3" s="8"/>
      <c r="AM3" s="8"/>
      <c r="AN3" s="8"/>
      <c r="AO3" s="8"/>
      <c r="AP3" s="8"/>
      <c r="AQ3" s="8"/>
      <c r="AR3" s="8"/>
      <c r="AS3" s="8"/>
      <c r="AT3" s="8"/>
      <c r="AU3" s="8"/>
      <c r="AV3" s="8"/>
      <c r="AW3" s="8"/>
      <c r="AX3" s="8"/>
      <c r="AY3" s="8"/>
    </row>
    <row r="4" ht="17.45" customHeight="1">
      <c r="A4" t="s" s="7">
        <v>532</v>
      </c>
      <c r="B4" s="8"/>
      <c r="C4" s="8"/>
      <c r="D4" t="s" s="7">
        <v>531</v>
      </c>
      <c r="E4" t="s" s="7">
        <v>533</v>
      </c>
      <c r="F4" t="s" s="7">
        <v>537</v>
      </c>
      <c r="G4" s="9">
        <v>1</v>
      </c>
      <c r="H4" s="8"/>
      <c r="I4" s="8"/>
      <c r="J4" s="8"/>
      <c r="K4" s="8"/>
      <c r="L4" s="9">
        <v>1</v>
      </c>
      <c r="M4" s="36"/>
      <c r="N4" s="36"/>
      <c r="O4" s="36"/>
      <c r="P4" s="36"/>
      <c r="Q4" s="9">
        <v>56</v>
      </c>
      <c r="R4" s="35">
        <v>1</v>
      </c>
      <c r="S4" s="36"/>
      <c r="T4" s="8"/>
      <c r="U4" s="9">
        <v>31</v>
      </c>
      <c r="V4" s="9">
        <v>8</v>
      </c>
      <c r="W4" s="9">
        <v>7</v>
      </c>
      <c r="X4" s="8"/>
      <c r="Y4" s="8"/>
      <c r="Z4" s="8"/>
      <c r="AA4" s="8"/>
      <c r="AB4" s="8"/>
      <c r="AC4" s="8"/>
      <c r="AD4" t="s" s="7">
        <v>538</v>
      </c>
      <c r="AE4" s="8"/>
      <c r="AF4" s="8"/>
      <c r="AG4" s="8"/>
      <c r="AH4" s="8"/>
      <c r="AI4" s="8"/>
      <c r="AJ4" s="8"/>
      <c r="AK4" s="8"/>
      <c r="AL4" s="8"/>
      <c r="AM4" s="8"/>
      <c r="AN4" s="8"/>
      <c r="AO4" s="8"/>
      <c r="AP4" s="8"/>
      <c r="AQ4" s="8"/>
      <c r="AR4" s="8"/>
      <c r="AS4" s="8"/>
      <c r="AT4" s="8"/>
      <c r="AU4" s="8"/>
      <c r="AV4" s="8"/>
      <c r="AW4" s="8"/>
      <c r="AX4" s="8"/>
      <c r="AY4" s="8"/>
    </row>
    <row r="5" ht="17.45" customHeight="1">
      <c r="A5" t="s" s="7">
        <v>532</v>
      </c>
      <c r="B5" s="8"/>
      <c r="C5" s="8"/>
      <c r="D5" t="s" s="7">
        <v>531</v>
      </c>
      <c r="E5" t="s" s="7">
        <v>533</v>
      </c>
      <c r="F5" t="s" s="7">
        <v>539</v>
      </c>
      <c r="G5" s="9">
        <v>1</v>
      </c>
      <c r="H5" s="8"/>
      <c r="I5" s="8"/>
      <c r="J5" s="8"/>
      <c r="K5" s="8"/>
      <c r="L5" s="8"/>
      <c r="M5" s="36"/>
      <c r="N5" s="35">
        <v>1</v>
      </c>
      <c r="O5" s="36"/>
      <c r="P5" s="36"/>
      <c r="Q5" s="35">
        <v>28</v>
      </c>
      <c r="R5" s="36"/>
      <c r="S5" s="35">
        <v>1</v>
      </c>
      <c r="T5" s="36"/>
      <c r="U5" s="8"/>
      <c r="V5" s="8"/>
      <c r="W5" s="8"/>
      <c r="X5" t="s" s="7">
        <v>540</v>
      </c>
      <c r="Y5" s="8"/>
      <c r="Z5" s="9">
        <v>1</v>
      </c>
      <c r="AA5" s="9">
        <v>1</v>
      </c>
      <c r="AB5" s="8"/>
      <c r="AC5" s="9">
        <v>1</v>
      </c>
      <c r="AD5" s="8"/>
      <c r="AE5" s="8"/>
      <c r="AF5" s="8"/>
      <c r="AG5" s="8"/>
      <c r="AH5" s="8"/>
      <c r="AI5" s="8"/>
      <c r="AJ5" s="8"/>
      <c r="AK5" s="8"/>
      <c r="AL5" s="8"/>
      <c r="AM5" s="8"/>
      <c r="AN5" s="8"/>
      <c r="AO5" s="8"/>
      <c r="AP5" s="8"/>
      <c r="AQ5" s="8"/>
      <c r="AR5" s="8"/>
      <c r="AS5" s="8"/>
      <c r="AT5" s="8"/>
      <c r="AU5" s="8"/>
      <c r="AV5" s="8"/>
      <c r="AW5" s="8"/>
      <c r="AX5" s="8"/>
      <c r="AY5" s="8"/>
    </row>
    <row r="6" ht="17.45" customHeight="1">
      <c r="A6" t="s" s="7">
        <v>532</v>
      </c>
      <c r="B6" s="8"/>
      <c r="C6" s="8"/>
      <c r="D6" t="s" s="7">
        <v>531</v>
      </c>
      <c r="E6" t="s" s="7">
        <v>533</v>
      </c>
      <c r="F6" t="s" s="7">
        <v>251</v>
      </c>
      <c r="G6" s="8"/>
      <c r="H6" s="9">
        <v>1</v>
      </c>
      <c r="I6" s="8"/>
      <c r="J6" s="8"/>
      <c r="K6" s="8"/>
      <c r="L6" s="8"/>
      <c r="M6" s="36"/>
      <c r="N6" s="35">
        <v>1</v>
      </c>
      <c r="O6" s="36"/>
      <c r="P6" s="36"/>
      <c r="Q6" s="35">
        <v>25</v>
      </c>
      <c r="R6" s="36"/>
      <c r="S6" s="35">
        <v>1</v>
      </c>
      <c r="T6" s="36"/>
      <c r="U6" s="8"/>
      <c r="V6" s="8"/>
      <c r="W6" s="8"/>
      <c r="X6" t="s" s="7">
        <v>541</v>
      </c>
      <c r="Y6" s="8"/>
      <c r="Z6" s="9">
        <v>1</v>
      </c>
      <c r="AA6" s="8"/>
      <c r="AB6" s="9">
        <v>1</v>
      </c>
      <c r="AC6" s="9">
        <v>1</v>
      </c>
      <c r="AD6" s="8"/>
      <c r="AE6" s="8"/>
      <c r="AF6" s="8"/>
      <c r="AG6" s="8"/>
      <c r="AH6" s="8"/>
      <c r="AI6" s="8"/>
      <c r="AJ6" s="8"/>
      <c r="AK6" s="8"/>
      <c r="AL6" s="8"/>
      <c r="AM6" s="8"/>
      <c r="AN6" s="8"/>
      <c r="AO6" s="8"/>
      <c r="AP6" s="8"/>
      <c r="AQ6" s="8"/>
      <c r="AR6" s="8"/>
      <c r="AS6" s="8"/>
      <c r="AT6" s="8"/>
      <c r="AU6" s="8"/>
      <c r="AV6" s="8"/>
      <c r="AW6" s="8"/>
      <c r="AX6" s="8"/>
      <c r="AY6" s="8"/>
    </row>
    <row r="7" ht="17.45" customHeight="1">
      <c r="A7" t="s" s="7">
        <v>532</v>
      </c>
      <c r="B7" s="8"/>
      <c r="C7" s="8"/>
      <c r="D7" t="s" s="7">
        <v>531</v>
      </c>
      <c r="E7" t="s" s="7">
        <v>533</v>
      </c>
      <c r="F7" t="s" s="7">
        <v>542</v>
      </c>
      <c r="G7" s="9">
        <v>1</v>
      </c>
      <c r="H7" s="8"/>
      <c r="I7" s="8"/>
      <c r="J7" s="8"/>
      <c r="K7" s="8"/>
      <c r="L7" s="8"/>
      <c r="M7" s="35">
        <v>1</v>
      </c>
      <c r="N7" s="36"/>
      <c r="O7" s="36"/>
      <c r="P7" s="36"/>
      <c r="Q7" s="35">
        <v>20</v>
      </c>
      <c r="R7" s="36"/>
      <c r="S7" s="35">
        <v>1</v>
      </c>
      <c r="T7" s="36"/>
      <c r="U7" s="8"/>
      <c r="V7" s="8"/>
      <c r="W7" s="8"/>
      <c r="X7" s="8"/>
      <c r="Y7" s="8"/>
      <c r="Z7" s="8"/>
      <c r="AA7" s="8"/>
      <c r="AB7" s="8"/>
      <c r="AC7" s="9">
        <v>1</v>
      </c>
      <c r="AD7" s="8"/>
      <c r="AE7" s="8"/>
      <c r="AF7" s="8"/>
      <c r="AG7" s="8"/>
      <c r="AH7" s="8"/>
      <c r="AI7" s="8"/>
      <c r="AJ7" s="8"/>
      <c r="AK7" s="8"/>
      <c r="AL7" s="8"/>
      <c r="AM7" s="8"/>
      <c r="AN7" s="8"/>
      <c r="AO7" s="8"/>
      <c r="AP7" s="8"/>
      <c r="AQ7" s="8"/>
      <c r="AR7" s="8"/>
      <c r="AS7" s="8"/>
      <c r="AT7" s="8"/>
      <c r="AU7" s="8"/>
      <c r="AV7" s="8"/>
      <c r="AW7" s="8"/>
      <c r="AX7" s="8"/>
      <c r="AY7" s="8"/>
    </row>
    <row r="8" ht="17.45" customHeight="1">
      <c r="A8" t="s" s="7">
        <v>532</v>
      </c>
      <c r="B8" s="8"/>
      <c r="C8" s="8"/>
      <c r="D8" t="s" s="7">
        <v>531</v>
      </c>
      <c r="E8" t="s" s="7">
        <v>533</v>
      </c>
      <c r="F8" t="s" s="7">
        <v>543</v>
      </c>
      <c r="G8" s="8"/>
      <c r="H8" s="8"/>
      <c r="I8" s="8"/>
      <c r="J8" s="9">
        <v>1</v>
      </c>
      <c r="K8" s="8"/>
      <c r="L8" s="8"/>
      <c r="M8" s="36"/>
      <c r="N8" s="35">
        <v>1</v>
      </c>
      <c r="O8" s="36"/>
      <c r="P8" s="36"/>
      <c r="Q8" s="35">
        <v>14</v>
      </c>
      <c r="R8" s="36"/>
      <c r="S8" s="36"/>
      <c r="T8" s="36"/>
      <c r="U8" s="8"/>
      <c r="V8" s="8"/>
      <c r="W8" s="8"/>
      <c r="X8" t="s" s="7">
        <v>544</v>
      </c>
      <c r="Y8" s="8"/>
      <c r="Z8" s="8"/>
      <c r="AA8" s="8"/>
      <c r="AB8" s="8"/>
      <c r="AC8" s="9">
        <v>1</v>
      </c>
      <c r="AD8" s="8"/>
      <c r="AE8" s="8"/>
      <c r="AF8" s="8"/>
      <c r="AG8" s="8"/>
      <c r="AH8" s="8"/>
      <c r="AI8" s="8"/>
      <c r="AJ8" s="8"/>
      <c r="AK8" s="8"/>
      <c r="AL8" s="8"/>
      <c r="AM8" s="8"/>
      <c r="AN8" s="8"/>
      <c r="AO8" s="8"/>
      <c r="AP8" s="8"/>
      <c r="AQ8" s="8"/>
      <c r="AR8" s="8"/>
      <c r="AS8" s="8"/>
      <c r="AT8" s="8"/>
      <c r="AU8" s="8"/>
      <c r="AV8" s="8"/>
      <c r="AW8" s="8"/>
      <c r="AX8" s="8"/>
      <c r="AY8" s="8"/>
    </row>
    <row r="9" ht="17.45" customHeight="1">
      <c r="A9" t="s" s="7">
        <v>532</v>
      </c>
      <c r="B9" s="8"/>
      <c r="C9" s="8"/>
      <c r="D9" t="s" s="7">
        <v>531</v>
      </c>
      <c r="E9" t="s" s="7">
        <v>545</v>
      </c>
      <c r="F9" t="s" s="7">
        <v>546</v>
      </c>
      <c r="G9" s="9">
        <v>1</v>
      </c>
      <c r="H9" s="8"/>
      <c r="I9" s="8"/>
      <c r="J9" s="8"/>
      <c r="K9" s="8"/>
      <c r="L9" s="8"/>
      <c r="M9" s="36"/>
      <c r="N9" s="36"/>
      <c r="O9" s="36"/>
      <c r="P9" s="35">
        <v>1</v>
      </c>
      <c r="Q9" s="9">
        <v>35</v>
      </c>
      <c r="R9" s="36"/>
      <c r="S9" s="35">
        <v>1</v>
      </c>
      <c r="T9" s="8"/>
      <c r="U9" s="8"/>
      <c r="V9" s="8"/>
      <c r="W9" s="8"/>
      <c r="X9" t="s" s="7">
        <v>547</v>
      </c>
      <c r="Y9" s="8"/>
      <c r="Z9" s="9">
        <v>1</v>
      </c>
      <c r="AA9" s="8"/>
      <c r="AB9" s="9">
        <v>1</v>
      </c>
      <c r="AC9" s="9">
        <v>1</v>
      </c>
      <c r="AD9" s="8"/>
      <c r="AE9" s="8"/>
      <c r="AF9" s="8"/>
      <c r="AG9" s="8"/>
      <c r="AH9" s="8"/>
      <c r="AI9" s="8"/>
      <c r="AJ9" s="8"/>
      <c r="AK9" s="8"/>
      <c r="AL9" s="8"/>
      <c r="AM9" s="8"/>
      <c r="AN9" s="8"/>
      <c r="AO9" s="8"/>
      <c r="AP9" s="8"/>
      <c r="AQ9" s="8"/>
      <c r="AR9" s="8"/>
      <c r="AS9" s="8"/>
      <c r="AT9" s="8"/>
      <c r="AU9" s="8"/>
      <c r="AV9" s="8"/>
      <c r="AW9" s="8"/>
      <c r="AX9" s="8"/>
      <c r="AY9" s="8"/>
    </row>
    <row r="10" ht="17.45" customHeight="1">
      <c r="A10" t="s" s="7">
        <v>548</v>
      </c>
      <c r="B10" t="s" s="7">
        <v>549</v>
      </c>
      <c r="C10" s="8"/>
      <c r="D10" t="s" s="7">
        <v>531</v>
      </c>
      <c r="E10" t="s" s="7">
        <v>40</v>
      </c>
      <c r="F10" t="s" s="7">
        <v>550</v>
      </c>
      <c r="G10" s="8"/>
      <c r="H10" s="9">
        <v>1</v>
      </c>
      <c r="I10" s="8"/>
      <c r="J10" s="8"/>
      <c r="K10" s="9">
        <v>1</v>
      </c>
      <c r="L10" s="8"/>
      <c r="M10" s="36"/>
      <c r="N10" s="36"/>
      <c r="O10" s="36"/>
      <c r="P10" s="36"/>
      <c r="Q10" s="35">
        <v>47</v>
      </c>
      <c r="R10" s="35">
        <v>1</v>
      </c>
      <c r="S10" s="36"/>
      <c r="T10" s="36"/>
      <c r="U10" s="8"/>
      <c r="V10" s="8"/>
      <c r="W10" s="8"/>
      <c r="X10" t="s" s="7">
        <v>551</v>
      </c>
      <c r="Y10" s="8"/>
      <c r="Z10" s="9">
        <v>1</v>
      </c>
      <c r="AA10" s="9">
        <v>1</v>
      </c>
      <c r="AB10" s="8"/>
      <c r="AC10" s="8"/>
      <c r="AD10" t="s" s="7">
        <v>240</v>
      </c>
      <c r="AE10" s="8"/>
      <c r="AF10" s="8"/>
      <c r="AG10" s="8"/>
      <c r="AH10" s="8"/>
      <c r="AI10" s="8"/>
      <c r="AJ10" s="8"/>
      <c r="AK10" s="8"/>
      <c r="AL10" s="8"/>
      <c r="AM10" s="8"/>
      <c r="AN10" s="8"/>
      <c r="AO10" s="8"/>
      <c r="AP10" s="8"/>
      <c r="AQ10" s="8"/>
      <c r="AR10" s="8"/>
      <c r="AS10" s="8"/>
      <c r="AT10" s="8"/>
      <c r="AU10" s="8"/>
      <c r="AV10" s="8"/>
      <c r="AW10" s="8"/>
      <c r="AX10" s="8"/>
      <c r="AY10" s="8"/>
    </row>
    <row r="11" ht="17.45" customHeight="1">
      <c r="A11" t="s" s="7">
        <v>548</v>
      </c>
      <c r="B11" t="s" s="7">
        <v>549</v>
      </c>
      <c r="C11" s="8"/>
      <c r="D11" t="s" s="7">
        <v>531</v>
      </c>
      <c r="E11" t="s" s="7">
        <v>40</v>
      </c>
      <c r="F11" t="s" s="7">
        <v>552</v>
      </c>
      <c r="G11" s="9">
        <v>1</v>
      </c>
      <c r="H11" s="8"/>
      <c r="I11" s="8"/>
      <c r="J11" s="8"/>
      <c r="K11" s="8"/>
      <c r="L11" s="9">
        <v>1</v>
      </c>
      <c r="M11" s="36"/>
      <c r="N11" s="36"/>
      <c r="O11" s="36"/>
      <c r="P11" s="36"/>
      <c r="Q11" s="35">
        <v>43</v>
      </c>
      <c r="R11" s="35">
        <v>1</v>
      </c>
      <c r="S11" s="36"/>
      <c r="T11" s="36"/>
      <c r="U11" s="9">
        <v>15</v>
      </c>
      <c r="V11" s="35">
        <v>2</v>
      </c>
      <c r="W11" s="8"/>
      <c r="X11" s="8"/>
      <c r="Y11" s="8"/>
      <c r="Z11" s="8"/>
      <c r="AA11" s="8"/>
      <c r="AB11" s="8"/>
      <c r="AC11" s="8"/>
      <c r="AD11" t="s" s="7">
        <v>553</v>
      </c>
      <c r="AE11" s="8"/>
      <c r="AF11" s="8"/>
      <c r="AG11" s="8"/>
      <c r="AH11" s="8"/>
      <c r="AI11" s="8"/>
      <c r="AJ11" s="8"/>
      <c r="AK11" s="8"/>
      <c r="AL11" s="8"/>
      <c r="AM11" s="8"/>
      <c r="AN11" s="8"/>
      <c r="AO11" s="8"/>
      <c r="AP11" s="8"/>
      <c r="AQ11" s="8"/>
      <c r="AR11" s="8"/>
      <c r="AS11" s="8"/>
      <c r="AT11" s="8"/>
      <c r="AU11" s="8"/>
      <c r="AV11" s="8"/>
      <c r="AW11" s="8"/>
      <c r="AX11" s="8"/>
      <c r="AY11" s="8"/>
    </row>
    <row r="12" ht="17.45" customHeight="1">
      <c r="A12" t="s" s="7">
        <v>548</v>
      </c>
      <c r="B12" t="s" s="7">
        <v>549</v>
      </c>
      <c r="C12" s="8"/>
      <c r="D12" t="s" s="7">
        <v>531</v>
      </c>
      <c r="E12" t="s" s="7">
        <v>40</v>
      </c>
      <c r="F12" t="s" s="7">
        <v>554</v>
      </c>
      <c r="G12" s="8"/>
      <c r="H12" s="8"/>
      <c r="I12" s="8"/>
      <c r="J12" s="9">
        <v>1</v>
      </c>
      <c r="K12" s="8"/>
      <c r="L12" s="8"/>
      <c r="M12" s="35">
        <v>1</v>
      </c>
      <c r="N12" s="36"/>
      <c r="O12" s="36"/>
      <c r="P12" s="36"/>
      <c r="Q12" s="35">
        <v>12</v>
      </c>
      <c r="R12" s="36"/>
      <c r="S12" s="36"/>
      <c r="T12" s="36"/>
      <c r="U12" s="8"/>
      <c r="V12" s="8"/>
      <c r="W12" s="8"/>
      <c r="X12" t="s" s="7">
        <v>517</v>
      </c>
      <c r="Y12" s="8"/>
      <c r="Z12" s="8"/>
      <c r="AA12" s="8"/>
      <c r="AB12" s="8"/>
      <c r="AC12" s="9">
        <v>1</v>
      </c>
      <c r="AD12" s="8"/>
      <c r="AE12" s="8"/>
      <c r="AF12" s="8"/>
      <c r="AG12" s="8"/>
      <c r="AH12" s="8"/>
      <c r="AI12" s="8"/>
      <c r="AJ12" s="8"/>
      <c r="AK12" s="8"/>
      <c r="AL12" s="8"/>
      <c r="AM12" s="8"/>
      <c r="AN12" s="8"/>
      <c r="AO12" s="8"/>
      <c r="AP12" s="8"/>
      <c r="AQ12" s="8"/>
      <c r="AR12" s="8"/>
      <c r="AS12" s="8"/>
      <c r="AT12" s="8"/>
      <c r="AU12" s="8"/>
      <c r="AV12" s="8"/>
      <c r="AW12" s="8"/>
      <c r="AX12" s="8"/>
      <c r="AY12" s="8"/>
    </row>
    <row r="13" ht="17.45" customHeight="1">
      <c r="A13" t="s" s="7">
        <v>548</v>
      </c>
      <c r="B13" t="s" s="7">
        <v>549</v>
      </c>
      <c r="C13" s="8"/>
      <c r="D13" t="s" s="7">
        <v>531</v>
      </c>
      <c r="E13" t="s" s="7">
        <v>40</v>
      </c>
      <c r="F13" t="s" s="7">
        <v>555</v>
      </c>
      <c r="G13" s="8"/>
      <c r="H13" s="8"/>
      <c r="I13" s="9">
        <v>1</v>
      </c>
      <c r="J13" s="8"/>
      <c r="K13" s="8"/>
      <c r="L13" s="8"/>
      <c r="M13" s="35">
        <v>1</v>
      </c>
      <c r="N13" s="36"/>
      <c r="O13" s="36"/>
      <c r="P13" s="36"/>
      <c r="Q13" s="35">
        <v>9</v>
      </c>
      <c r="R13" s="36"/>
      <c r="S13" s="36"/>
      <c r="T13" s="36"/>
      <c r="U13" s="8"/>
      <c r="V13" s="8"/>
      <c r="W13" s="8"/>
      <c r="X13" t="s" s="7">
        <v>517</v>
      </c>
      <c r="Y13" s="8"/>
      <c r="Z13" s="8"/>
      <c r="AA13" s="8"/>
      <c r="AB13" s="8"/>
      <c r="AC13" s="9">
        <v>1</v>
      </c>
      <c r="AD13" s="8"/>
      <c r="AE13" s="8"/>
      <c r="AF13" s="8"/>
      <c r="AG13" s="8"/>
      <c r="AH13" s="8"/>
      <c r="AI13" s="8"/>
      <c r="AJ13" s="8"/>
      <c r="AK13" s="8"/>
      <c r="AL13" s="8"/>
      <c r="AM13" s="8"/>
      <c r="AN13" s="8"/>
      <c r="AO13" s="8"/>
      <c r="AP13" s="8"/>
      <c r="AQ13" s="8"/>
      <c r="AR13" s="8"/>
      <c r="AS13" s="8"/>
      <c r="AT13" s="8"/>
      <c r="AU13" s="8"/>
      <c r="AV13" s="8"/>
      <c r="AW13" s="8"/>
      <c r="AX13" s="8"/>
      <c r="AY13" s="8"/>
    </row>
    <row r="14" ht="17" customHeight="1">
      <c r="A14" t="s" s="7">
        <v>548</v>
      </c>
      <c r="B14" t="s" s="7">
        <v>549</v>
      </c>
      <c r="C14" s="8"/>
      <c r="D14" t="s" s="7">
        <v>531</v>
      </c>
      <c r="E14" t="s" s="7">
        <v>556</v>
      </c>
      <c r="F14" t="s" s="7">
        <v>202</v>
      </c>
      <c r="G14" s="9">
        <v>1</v>
      </c>
      <c r="H14" s="8"/>
      <c r="I14" s="8"/>
      <c r="J14" s="8"/>
      <c r="K14" s="8"/>
      <c r="L14" s="8"/>
      <c r="M14" s="36"/>
      <c r="N14" s="36"/>
      <c r="O14" t="s" s="47">
        <v>441</v>
      </c>
      <c r="P14" s="36"/>
      <c r="Q14" s="35">
        <v>32</v>
      </c>
      <c r="R14" s="36"/>
      <c r="S14" s="35">
        <v>1</v>
      </c>
      <c r="T14" s="36"/>
      <c r="U14" s="8"/>
      <c r="V14" s="8"/>
      <c r="W14" s="8"/>
      <c r="X14" t="s" s="7">
        <v>557</v>
      </c>
      <c r="Y14" s="8"/>
      <c r="Z14" s="9">
        <v>1</v>
      </c>
      <c r="AA14" s="8"/>
      <c r="AB14" s="9">
        <v>1</v>
      </c>
      <c r="AC14" s="8"/>
      <c r="AD14" t="s" s="7">
        <v>558</v>
      </c>
      <c r="AE14" t="s" s="7">
        <v>559</v>
      </c>
      <c r="AF14" s="8"/>
      <c r="AG14" s="8"/>
      <c r="AH14" s="8"/>
      <c r="AI14" s="8"/>
      <c r="AJ14" s="8"/>
      <c r="AK14" s="8"/>
      <c r="AL14" s="8"/>
      <c r="AM14" s="8"/>
      <c r="AN14" s="8"/>
      <c r="AO14" s="8"/>
      <c r="AP14" s="8"/>
      <c r="AQ14" s="8"/>
      <c r="AR14" s="8"/>
      <c r="AS14" s="8"/>
      <c r="AT14" s="8"/>
      <c r="AU14" s="8"/>
      <c r="AV14" s="8"/>
      <c r="AW14" s="8"/>
      <c r="AX14" s="8"/>
      <c r="AY14" s="8"/>
    </row>
    <row r="15" ht="17.45" customHeight="1">
      <c r="A15" t="s" s="7">
        <v>560</v>
      </c>
      <c r="B15" t="s" s="7">
        <v>561</v>
      </c>
      <c r="C15" s="8"/>
      <c r="D15" t="s" s="7">
        <v>531</v>
      </c>
      <c r="E15" t="s" s="7">
        <v>562</v>
      </c>
      <c r="F15" t="s" s="7">
        <v>563</v>
      </c>
      <c r="G15" s="8"/>
      <c r="H15" s="9">
        <v>1</v>
      </c>
      <c r="I15" s="8"/>
      <c r="J15" s="8"/>
      <c r="K15" s="9">
        <v>1</v>
      </c>
      <c r="L15" s="8"/>
      <c r="M15" s="36"/>
      <c r="N15" s="36"/>
      <c r="O15" s="36"/>
      <c r="P15" s="36"/>
      <c r="Q15" s="35">
        <v>27</v>
      </c>
      <c r="R15" s="35">
        <v>1</v>
      </c>
      <c r="S15" s="36"/>
      <c r="T15" s="36"/>
      <c r="U15" s="8"/>
      <c r="V15" s="8"/>
      <c r="W15" s="8"/>
      <c r="X15" t="s" s="7">
        <v>564</v>
      </c>
      <c r="Y15" t="s" s="7">
        <v>565</v>
      </c>
      <c r="Z15" s="9">
        <v>1</v>
      </c>
      <c r="AA15" s="9">
        <v>1</v>
      </c>
      <c r="AB15" s="8"/>
      <c r="AC15" s="9">
        <v>1</v>
      </c>
      <c r="AD15" s="8"/>
      <c r="AE15" s="8"/>
      <c r="AF15" s="8"/>
      <c r="AG15" s="8"/>
      <c r="AH15" s="8"/>
      <c r="AI15" s="8"/>
      <c r="AJ15" s="8"/>
      <c r="AK15" s="8"/>
      <c r="AL15" s="8"/>
      <c r="AM15" s="8"/>
      <c r="AN15" s="8"/>
      <c r="AO15" s="8"/>
      <c r="AP15" s="8"/>
      <c r="AQ15" s="8"/>
      <c r="AR15" s="8"/>
      <c r="AS15" s="8"/>
      <c r="AT15" s="8"/>
      <c r="AU15" s="8"/>
      <c r="AV15" s="8"/>
      <c r="AW15" s="8"/>
      <c r="AX15" s="8"/>
      <c r="AY15" s="8"/>
    </row>
    <row r="16" ht="17.45" customHeight="1">
      <c r="A16" t="s" s="7">
        <v>560</v>
      </c>
      <c r="B16" t="s" s="7">
        <v>561</v>
      </c>
      <c r="C16" s="8"/>
      <c r="D16" t="s" s="7">
        <v>531</v>
      </c>
      <c r="E16" t="s" s="7">
        <v>562</v>
      </c>
      <c r="F16" t="s" s="7">
        <v>566</v>
      </c>
      <c r="G16" s="9">
        <v>1</v>
      </c>
      <c r="H16" s="8"/>
      <c r="I16" s="8"/>
      <c r="J16" s="8"/>
      <c r="K16" s="8"/>
      <c r="L16" s="9">
        <v>1</v>
      </c>
      <c r="M16" s="36"/>
      <c r="N16" s="36"/>
      <c r="O16" s="36"/>
      <c r="P16" s="36"/>
      <c r="Q16" s="35">
        <v>28</v>
      </c>
      <c r="R16" s="35">
        <v>1</v>
      </c>
      <c r="S16" s="36"/>
      <c r="T16" s="36"/>
      <c r="U16" s="9">
        <v>3</v>
      </c>
      <c r="V16" s="35">
        <v>1</v>
      </c>
      <c r="W16" s="35">
        <v>1</v>
      </c>
      <c r="X16" s="8"/>
      <c r="Y16" s="8"/>
      <c r="Z16" s="8"/>
      <c r="AA16" s="8"/>
      <c r="AB16" s="8"/>
      <c r="AC16" s="9">
        <v>1</v>
      </c>
      <c r="AD16" s="8"/>
      <c r="AE16" s="8"/>
      <c r="AF16" s="8"/>
      <c r="AG16" s="8"/>
      <c r="AH16" s="8"/>
      <c r="AI16" s="8"/>
      <c r="AJ16" s="8"/>
      <c r="AK16" s="8"/>
      <c r="AL16" s="8"/>
      <c r="AM16" s="8"/>
      <c r="AN16" s="8"/>
      <c r="AO16" s="8"/>
      <c r="AP16" s="8"/>
      <c r="AQ16" s="8"/>
      <c r="AR16" s="8"/>
      <c r="AS16" s="8"/>
      <c r="AT16" s="8"/>
      <c r="AU16" s="8"/>
      <c r="AV16" s="8"/>
      <c r="AW16" s="8"/>
      <c r="AX16" s="8"/>
      <c r="AY16" s="8"/>
    </row>
    <row r="17" ht="17.45" customHeight="1">
      <c r="A17" t="s" s="7">
        <v>560</v>
      </c>
      <c r="B17" t="s" s="7">
        <v>561</v>
      </c>
      <c r="C17" s="8"/>
      <c r="D17" t="s" s="7">
        <v>531</v>
      </c>
      <c r="E17" t="s" s="7">
        <v>567</v>
      </c>
      <c r="F17" t="s" s="7">
        <v>568</v>
      </c>
      <c r="G17" s="8"/>
      <c r="H17" s="8"/>
      <c r="I17" s="9">
        <v>1</v>
      </c>
      <c r="J17" s="8"/>
      <c r="K17" s="8"/>
      <c r="L17" s="8"/>
      <c r="M17" s="35">
        <v>1</v>
      </c>
      <c r="N17" s="36"/>
      <c r="O17" s="36"/>
      <c r="P17" s="36"/>
      <c r="Q17" s="35">
        <v>2</v>
      </c>
      <c r="R17" s="36"/>
      <c r="S17" s="36"/>
      <c r="T17" s="36"/>
      <c r="U17" s="8"/>
      <c r="V17" s="8"/>
      <c r="W17" s="8"/>
      <c r="X17" s="8"/>
      <c r="Y17" s="8"/>
      <c r="Z17" s="8"/>
      <c r="AA17" s="8"/>
      <c r="AB17" s="8"/>
      <c r="AC17" s="9">
        <v>1</v>
      </c>
      <c r="AD17" s="8"/>
      <c r="AE17" s="8"/>
      <c r="AF17" s="8"/>
      <c r="AG17" s="8"/>
      <c r="AH17" s="8"/>
      <c r="AI17" s="8"/>
      <c r="AJ17" s="8"/>
      <c r="AK17" s="8"/>
      <c r="AL17" s="8"/>
      <c r="AM17" s="8"/>
      <c r="AN17" s="8"/>
      <c r="AO17" s="8"/>
      <c r="AP17" s="8"/>
      <c r="AQ17" s="8"/>
      <c r="AR17" s="8"/>
      <c r="AS17" s="8"/>
      <c r="AT17" s="8"/>
      <c r="AU17" s="8"/>
      <c r="AV17" s="8"/>
      <c r="AW17" s="8"/>
      <c r="AX17" s="8"/>
      <c r="AY17" s="8"/>
    </row>
    <row r="18" ht="17.45" customHeight="1">
      <c r="A18" t="s" s="7">
        <v>560</v>
      </c>
      <c r="B18" t="s" s="7">
        <v>561</v>
      </c>
      <c r="C18" s="8"/>
      <c r="D18" t="s" s="7">
        <v>531</v>
      </c>
      <c r="E18" t="s" s="7">
        <v>569</v>
      </c>
      <c r="F18" t="s" s="7">
        <v>570</v>
      </c>
      <c r="G18" s="9">
        <v>1</v>
      </c>
      <c r="H18" s="8"/>
      <c r="I18" s="8"/>
      <c r="J18" s="8"/>
      <c r="K18" s="8"/>
      <c r="L18" s="8"/>
      <c r="M18" s="36"/>
      <c r="N18" s="36"/>
      <c r="O18" s="36"/>
      <c r="P18" s="35">
        <v>1</v>
      </c>
      <c r="Q18" s="35">
        <v>50</v>
      </c>
      <c r="R18" s="36"/>
      <c r="S18" s="35">
        <v>1</v>
      </c>
      <c r="T18" s="36"/>
      <c r="U18" s="8"/>
      <c r="V18" s="8"/>
      <c r="W18" s="8"/>
      <c r="X18" t="s" s="7">
        <v>162</v>
      </c>
      <c r="Y18" s="8"/>
      <c r="Z18" s="9">
        <v>1</v>
      </c>
      <c r="AA18" s="8"/>
      <c r="AB18" s="9">
        <v>1</v>
      </c>
      <c r="AC18" s="8"/>
      <c r="AD18" t="s" s="7">
        <v>571</v>
      </c>
      <c r="AE18" s="8"/>
      <c r="AF18" s="8"/>
      <c r="AG18" s="8"/>
      <c r="AH18" s="8"/>
      <c r="AI18" s="8"/>
      <c r="AJ18" s="8"/>
      <c r="AK18" s="8"/>
      <c r="AL18" s="8"/>
      <c r="AM18" s="8"/>
      <c r="AN18" s="8"/>
      <c r="AO18" s="8"/>
      <c r="AP18" s="8"/>
      <c r="AQ18" s="8"/>
      <c r="AR18" s="8"/>
      <c r="AS18" s="8"/>
      <c r="AT18" s="8"/>
      <c r="AU18" s="8"/>
      <c r="AV18" s="8"/>
      <c r="AW18" s="8"/>
      <c r="AX18" s="8"/>
      <c r="AY18" s="8"/>
    </row>
    <row r="19" ht="17.45" customHeight="1">
      <c r="A19" t="s" s="7">
        <v>560</v>
      </c>
      <c r="B19" t="s" s="7">
        <v>561</v>
      </c>
      <c r="C19" s="8"/>
      <c r="D19" t="s" s="7">
        <v>531</v>
      </c>
      <c r="E19" t="s" s="7">
        <v>572</v>
      </c>
      <c r="F19" t="s" s="7">
        <v>573</v>
      </c>
      <c r="G19" s="9">
        <v>1</v>
      </c>
      <c r="H19" s="8"/>
      <c r="I19" s="8"/>
      <c r="J19" s="8"/>
      <c r="K19" s="8"/>
      <c r="L19" s="8"/>
      <c r="M19" s="36"/>
      <c r="N19" s="36"/>
      <c r="O19" s="36"/>
      <c r="P19" s="35">
        <v>1</v>
      </c>
      <c r="Q19" s="35">
        <v>22</v>
      </c>
      <c r="R19" s="36"/>
      <c r="S19" s="35">
        <v>1</v>
      </c>
      <c r="T19" s="36"/>
      <c r="U19" s="8"/>
      <c r="V19" s="8"/>
      <c r="W19" s="8"/>
      <c r="X19" t="s" s="7">
        <v>159</v>
      </c>
      <c r="Y19" s="8"/>
      <c r="Z19" s="9">
        <v>1</v>
      </c>
      <c r="AA19" s="8"/>
      <c r="AB19" s="9">
        <v>1</v>
      </c>
      <c r="AC19" s="9">
        <v>1</v>
      </c>
      <c r="AD19" s="8"/>
      <c r="AE19" s="8"/>
      <c r="AF19" s="8"/>
      <c r="AG19" s="8"/>
      <c r="AH19" s="8"/>
      <c r="AI19" s="8"/>
      <c r="AJ19" s="8"/>
      <c r="AK19" s="8"/>
      <c r="AL19" s="8"/>
      <c r="AM19" s="8"/>
      <c r="AN19" s="8"/>
      <c r="AO19" s="8"/>
      <c r="AP19" s="8"/>
      <c r="AQ19" s="8"/>
      <c r="AR19" s="8"/>
      <c r="AS19" s="8"/>
      <c r="AT19" s="8"/>
      <c r="AU19" s="8"/>
      <c r="AV19" s="8"/>
      <c r="AW19" s="8"/>
      <c r="AX19" s="8"/>
      <c r="AY19" s="8"/>
    </row>
    <row r="20" ht="17.45" customHeight="1">
      <c r="A20" t="s" s="7">
        <v>560</v>
      </c>
      <c r="B20" t="s" s="7">
        <v>561</v>
      </c>
      <c r="C20" s="8"/>
      <c r="D20" t="s" s="7">
        <v>531</v>
      </c>
      <c r="E20" t="s" s="7">
        <v>574</v>
      </c>
      <c r="F20" t="s" s="7">
        <v>575</v>
      </c>
      <c r="G20" s="9">
        <v>1</v>
      </c>
      <c r="H20" s="8"/>
      <c r="I20" s="8"/>
      <c r="J20" s="8"/>
      <c r="K20" s="8"/>
      <c r="L20" s="8"/>
      <c r="M20" s="36"/>
      <c r="N20" s="36"/>
      <c r="O20" s="36"/>
      <c r="P20" s="35">
        <v>1</v>
      </c>
      <c r="Q20" s="35">
        <v>19</v>
      </c>
      <c r="R20" s="36"/>
      <c r="S20" s="35">
        <v>1</v>
      </c>
      <c r="T20" s="36"/>
      <c r="U20" s="8"/>
      <c r="V20" s="8"/>
      <c r="W20" s="8"/>
      <c r="X20" t="s" s="7">
        <v>576</v>
      </c>
      <c r="Y20" s="8"/>
      <c r="Z20" s="9">
        <v>1</v>
      </c>
      <c r="AA20" s="8"/>
      <c r="AB20" s="9">
        <v>1</v>
      </c>
      <c r="AC20" s="9">
        <v>1</v>
      </c>
      <c r="AD20" s="8"/>
      <c r="AE20" s="8"/>
      <c r="AF20" s="8"/>
      <c r="AG20" s="8"/>
      <c r="AH20" s="8"/>
      <c r="AI20" s="8"/>
      <c r="AJ20" s="8"/>
      <c r="AK20" s="8"/>
      <c r="AL20" s="8"/>
      <c r="AM20" s="8"/>
      <c r="AN20" s="8"/>
      <c r="AO20" s="8"/>
      <c r="AP20" s="8"/>
      <c r="AQ20" s="8"/>
      <c r="AR20" s="8"/>
      <c r="AS20" s="8"/>
      <c r="AT20" s="8"/>
      <c r="AU20" s="8"/>
      <c r="AV20" s="8"/>
      <c r="AW20" s="8"/>
      <c r="AX20" s="8"/>
      <c r="AY20" s="8"/>
    </row>
    <row r="21" ht="17.45" customHeight="1">
      <c r="A21" t="s" s="7">
        <v>577</v>
      </c>
      <c r="B21" t="s" s="7">
        <v>578</v>
      </c>
      <c r="C21" s="8"/>
      <c r="D21" t="s" s="7">
        <v>531</v>
      </c>
      <c r="E21" t="s" s="7">
        <v>579</v>
      </c>
      <c r="F21" t="s" s="7">
        <v>580</v>
      </c>
      <c r="G21" s="8"/>
      <c r="H21" s="9">
        <v>1</v>
      </c>
      <c r="I21" s="8"/>
      <c r="J21" s="8"/>
      <c r="K21" s="9">
        <v>1</v>
      </c>
      <c r="L21" s="8"/>
      <c r="M21" s="8"/>
      <c r="N21" s="8"/>
      <c r="O21" s="8"/>
      <c r="P21" s="8"/>
      <c r="Q21" s="35">
        <v>39</v>
      </c>
      <c r="R21" s="9">
        <v>1</v>
      </c>
      <c r="S21" s="8"/>
      <c r="T21" s="8"/>
      <c r="U21" s="8"/>
      <c r="V21" s="8"/>
      <c r="W21" s="8"/>
      <c r="X21" t="s" s="7">
        <v>581</v>
      </c>
      <c r="Y21" s="8"/>
      <c r="Z21" s="9">
        <v>1</v>
      </c>
      <c r="AA21" s="9">
        <v>1</v>
      </c>
      <c r="AB21" s="8"/>
      <c r="AC21" s="8"/>
      <c r="AD21" t="s" s="7">
        <v>146</v>
      </c>
      <c r="AE21" s="8"/>
      <c r="AF21" s="8"/>
      <c r="AG21" s="8"/>
      <c r="AH21" s="8"/>
      <c r="AI21" s="8"/>
      <c r="AJ21" s="8"/>
      <c r="AK21" s="8"/>
      <c r="AL21" s="8"/>
      <c r="AM21" s="8"/>
      <c r="AN21" s="8"/>
      <c r="AO21" s="8"/>
      <c r="AP21" s="8"/>
      <c r="AQ21" s="8"/>
      <c r="AR21" s="8"/>
      <c r="AS21" s="8"/>
      <c r="AT21" s="8"/>
      <c r="AU21" s="8"/>
      <c r="AV21" s="8"/>
      <c r="AW21" s="8"/>
      <c r="AX21" s="8"/>
      <c r="AY21" s="8"/>
    </row>
    <row r="22" ht="17.45" customHeight="1">
      <c r="A22" t="s" s="7">
        <v>577</v>
      </c>
      <c r="B22" t="s" s="7">
        <v>578</v>
      </c>
      <c r="C22" s="8"/>
      <c r="D22" t="s" s="7">
        <v>531</v>
      </c>
      <c r="E22" t="s" s="7">
        <v>579</v>
      </c>
      <c r="F22" t="s" s="7">
        <v>582</v>
      </c>
      <c r="G22" s="9">
        <v>1</v>
      </c>
      <c r="H22" s="8"/>
      <c r="I22" s="8"/>
      <c r="J22" s="8"/>
      <c r="K22" s="8"/>
      <c r="L22" s="9">
        <v>1</v>
      </c>
      <c r="M22" s="36"/>
      <c r="N22" s="36"/>
      <c r="O22" s="36"/>
      <c r="P22" s="36"/>
      <c r="Q22" s="35">
        <v>38</v>
      </c>
      <c r="R22" s="35">
        <v>1</v>
      </c>
      <c r="S22" s="36"/>
      <c r="T22" s="36"/>
      <c r="U22" s="9">
        <v>5</v>
      </c>
      <c r="V22" s="8"/>
      <c r="W22" s="8"/>
      <c r="X22" s="8"/>
      <c r="Y22" s="8"/>
      <c r="Z22" s="8"/>
      <c r="AA22" s="8"/>
      <c r="AB22" s="8"/>
      <c r="AC22" s="8"/>
      <c r="AD22" t="s" s="7">
        <v>146</v>
      </c>
      <c r="AE22" s="8"/>
      <c r="AF22" s="8"/>
      <c r="AG22" s="8"/>
      <c r="AH22" s="8"/>
      <c r="AI22" s="8"/>
      <c r="AJ22" s="8"/>
      <c r="AK22" s="8"/>
      <c r="AL22" s="8"/>
      <c r="AM22" s="8"/>
      <c r="AN22" s="8"/>
      <c r="AO22" s="8"/>
      <c r="AP22" s="8"/>
      <c r="AQ22" s="8"/>
      <c r="AR22" s="8"/>
      <c r="AS22" s="8"/>
      <c r="AT22" s="8"/>
      <c r="AU22" s="8"/>
      <c r="AV22" s="8"/>
      <c r="AW22" s="8"/>
      <c r="AX22" s="8"/>
      <c r="AY22" s="8"/>
    </row>
    <row r="23" ht="17.45" customHeight="1">
      <c r="A23" t="s" s="7">
        <v>577</v>
      </c>
      <c r="B23" t="s" s="7">
        <v>578</v>
      </c>
      <c r="C23" s="8"/>
      <c r="D23" t="s" s="7">
        <v>531</v>
      </c>
      <c r="E23" t="s" s="7">
        <v>583</v>
      </c>
      <c r="F23" t="s" s="7">
        <v>573</v>
      </c>
      <c r="G23" s="9">
        <v>1</v>
      </c>
      <c r="H23" s="8"/>
      <c r="I23" s="8"/>
      <c r="J23" s="8"/>
      <c r="K23" s="8"/>
      <c r="L23" s="8"/>
      <c r="M23" s="8"/>
      <c r="N23" s="8"/>
      <c r="O23" s="8"/>
      <c r="P23" s="35">
        <v>1</v>
      </c>
      <c r="Q23" s="35">
        <v>22</v>
      </c>
      <c r="R23" s="8"/>
      <c r="S23" s="35">
        <v>1</v>
      </c>
      <c r="T23" s="8"/>
      <c r="U23" s="8"/>
      <c r="V23" s="8"/>
      <c r="W23" s="8"/>
      <c r="X23" t="s" s="7">
        <v>547</v>
      </c>
      <c r="Y23" s="8"/>
      <c r="Z23" s="9">
        <v>1</v>
      </c>
      <c r="AA23" s="8"/>
      <c r="AB23" s="9">
        <v>1</v>
      </c>
      <c r="AC23" s="9">
        <v>1</v>
      </c>
      <c r="AD23" s="8"/>
      <c r="AE23" s="8"/>
      <c r="AF23" s="8"/>
      <c r="AG23" s="8"/>
      <c r="AH23" s="8"/>
      <c r="AI23" s="8"/>
      <c r="AJ23" s="8"/>
      <c r="AK23" s="8"/>
      <c r="AL23" s="8"/>
      <c r="AM23" s="8"/>
      <c r="AN23" s="8"/>
      <c r="AO23" s="8"/>
      <c r="AP23" s="8"/>
      <c r="AQ23" s="8"/>
      <c r="AR23" s="8"/>
      <c r="AS23" s="8"/>
      <c r="AT23" s="8"/>
      <c r="AU23" s="8"/>
      <c r="AV23" s="8"/>
      <c r="AW23" s="8"/>
      <c r="AX23" s="8"/>
      <c r="AY23" s="8"/>
    </row>
    <row r="24" ht="17.45" customHeight="1">
      <c r="A24" t="s" s="7">
        <v>577</v>
      </c>
      <c r="B24" t="s" s="7">
        <v>578</v>
      </c>
      <c r="C24" s="8"/>
      <c r="D24" t="s" s="7">
        <v>531</v>
      </c>
      <c r="E24" t="s" s="7">
        <v>462</v>
      </c>
      <c r="F24" t="s" s="7">
        <v>584</v>
      </c>
      <c r="G24" s="9">
        <v>1</v>
      </c>
      <c r="H24" s="8"/>
      <c r="I24" s="8"/>
      <c r="J24" s="8"/>
      <c r="K24" s="8"/>
      <c r="L24" s="8"/>
      <c r="M24" s="8"/>
      <c r="N24" s="8"/>
      <c r="O24" s="8"/>
      <c r="P24" s="35">
        <v>1</v>
      </c>
      <c r="Q24" s="35">
        <v>18</v>
      </c>
      <c r="R24" s="8"/>
      <c r="S24" s="35">
        <v>1</v>
      </c>
      <c r="T24" s="8"/>
      <c r="U24" s="8"/>
      <c r="V24" s="8"/>
      <c r="W24" s="8"/>
      <c r="X24" t="s" s="7">
        <v>547</v>
      </c>
      <c r="Y24" s="8"/>
      <c r="Z24" s="9">
        <v>1</v>
      </c>
      <c r="AA24" s="8"/>
      <c r="AB24" s="9">
        <v>1</v>
      </c>
      <c r="AC24" s="8"/>
      <c r="AD24" t="s" s="7">
        <v>435</v>
      </c>
      <c r="AE24" s="8"/>
      <c r="AF24" s="8"/>
      <c r="AG24" s="8"/>
      <c r="AH24" s="8"/>
      <c r="AI24" s="8"/>
      <c r="AJ24" s="8"/>
      <c r="AK24" s="8"/>
      <c r="AL24" s="8"/>
      <c r="AM24" s="8"/>
      <c r="AN24" s="8"/>
      <c r="AO24" s="8"/>
      <c r="AP24" s="8"/>
      <c r="AQ24" s="8"/>
      <c r="AR24" s="8"/>
      <c r="AS24" s="8"/>
      <c r="AT24" s="8"/>
      <c r="AU24" s="8"/>
      <c r="AV24" s="8"/>
      <c r="AW24" s="8"/>
      <c r="AX24" s="8"/>
      <c r="AY24" s="8"/>
    </row>
    <row r="25" ht="17.45" customHeight="1">
      <c r="A25" t="s" s="7">
        <v>585</v>
      </c>
      <c r="B25" t="s" s="7">
        <v>586</v>
      </c>
      <c r="C25" s="8"/>
      <c r="D25" t="s" s="7">
        <v>531</v>
      </c>
      <c r="E25" t="s" s="7">
        <v>587</v>
      </c>
      <c r="F25" t="s" s="7">
        <v>588</v>
      </c>
      <c r="G25" s="9">
        <v>1</v>
      </c>
      <c r="H25" s="8"/>
      <c r="I25" s="8"/>
      <c r="J25" s="8"/>
      <c r="K25" s="9">
        <v>1</v>
      </c>
      <c r="L25" s="8"/>
      <c r="M25" s="8"/>
      <c r="N25" s="8"/>
      <c r="O25" s="8"/>
      <c r="P25" s="8"/>
      <c r="Q25" s="35">
        <v>74</v>
      </c>
      <c r="R25" s="8"/>
      <c r="S25" s="8"/>
      <c r="T25" s="9">
        <v>1</v>
      </c>
      <c r="U25" s="8"/>
      <c r="V25" s="9">
        <v>2</v>
      </c>
      <c r="W25" s="9">
        <v>2</v>
      </c>
      <c r="X25" t="s" s="7">
        <v>589</v>
      </c>
      <c r="Y25" s="8"/>
      <c r="Z25" s="8"/>
      <c r="AA25" s="8"/>
      <c r="AB25" s="8"/>
      <c r="AC25" s="8"/>
      <c r="AD25" t="s" s="7">
        <v>400</v>
      </c>
      <c r="AE25" s="8"/>
      <c r="AF25" s="8"/>
      <c r="AG25" s="8"/>
      <c r="AH25" s="8"/>
      <c r="AI25" s="8"/>
      <c r="AJ25" s="8"/>
      <c r="AK25" s="8"/>
      <c r="AL25" s="8"/>
      <c r="AM25" s="8"/>
      <c r="AN25" s="8"/>
      <c r="AO25" s="8"/>
      <c r="AP25" s="8"/>
      <c r="AQ25" s="8"/>
      <c r="AR25" s="8"/>
      <c r="AS25" s="8"/>
      <c r="AT25" s="8"/>
      <c r="AU25" s="8"/>
      <c r="AV25" s="8"/>
      <c r="AW25" s="8"/>
      <c r="AX25" s="8"/>
      <c r="AY25" s="8"/>
    </row>
    <row r="26" ht="17" customHeight="1">
      <c r="A26" t="s" s="7">
        <v>585</v>
      </c>
      <c r="B26" t="s" s="7">
        <v>586</v>
      </c>
      <c r="C26" s="8"/>
      <c r="D26" t="s" s="7">
        <v>531</v>
      </c>
      <c r="E26" t="s" s="7">
        <v>590</v>
      </c>
      <c r="F26" t="s" s="7">
        <v>310</v>
      </c>
      <c r="G26" s="9">
        <v>1</v>
      </c>
      <c r="H26" s="8"/>
      <c r="I26" s="8"/>
      <c r="J26" s="8"/>
      <c r="K26" s="8"/>
      <c r="L26" s="8"/>
      <c r="M26" s="8"/>
      <c r="N26" s="8"/>
      <c r="O26" s="8"/>
      <c r="P26" s="9">
        <v>1</v>
      </c>
      <c r="Q26" s="8"/>
      <c r="R26" s="8"/>
      <c r="S26" s="9">
        <v>1</v>
      </c>
      <c r="T26" s="8"/>
      <c r="U26" s="8"/>
      <c r="V26" s="8"/>
      <c r="W26" s="8"/>
      <c r="X26" t="s" s="7">
        <v>191</v>
      </c>
      <c r="Y26" s="8"/>
      <c r="Z26" s="9">
        <v>1</v>
      </c>
      <c r="AA26" s="8"/>
      <c r="AB26" s="9">
        <v>1</v>
      </c>
      <c r="AC26" s="8"/>
      <c r="AD26" t="s" s="7">
        <v>591</v>
      </c>
      <c r="AE26" s="8"/>
      <c r="AF26" s="8"/>
      <c r="AG26" s="8"/>
      <c r="AH26" s="8"/>
      <c r="AI26" s="8"/>
      <c r="AJ26" s="8"/>
      <c r="AK26" s="8"/>
      <c r="AL26" s="8"/>
      <c r="AM26" s="8"/>
      <c r="AN26" s="8"/>
      <c r="AO26" s="8"/>
      <c r="AP26" s="8"/>
      <c r="AQ26" s="8"/>
      <c r="AR26" s="8"/>
      <c r="AS26" s="8"/>
      <c r="AT26" s="8"/>
      <c r="AU26" s="8"/>
      <c r="AV26" s="8"/>
      <c r="AW26" s="8"/>
      <c r="AX26" s="8"/>
      <c r="AY26" s="8"/>
    </row>
    <row r="27" ht="17.45" customHeight="1">
      <c r="A27" t="s" s="7">
        <v>585</v>
      </c>
      <c r="B27" t="s" s="7">
        <v>586</v>
      </c>
      <c r="C27" s="8"/>
      <c r="D27" t="s" s="7">
        <v>531</v>
      </c>
      <c r="E27" t="s" s="7">
        <v>590</v>
      </c>
      <c r="F27" t="s" s="7">
        <v>592</v>
      </c>
      <c r="G27" s="9">
        <v>1</v>
      </c>
      <c r="H27" s="8"/>
      <c r="I27" s="8"/>
      <c r="J27" s="8"/>
      <c r="K27" s="8"/>
      <c r="L27" s="8"/>
      <c r="M27" s="8"/>
      <c r="N27" s="8"/>
      <c r="O27" s="8"/>
      <c r="P27" s="35">
        <v>1</v>
      </c>
      <c r="Q27" s="8"/>
      <c r="R27" s="8"/>
      <c r="S27" s="35">
        <v>1</v>
      </c>
      <c r="T27" s="8"/>
      <c r="U27" s="8"/>
      <c r="V27" s="8"/>
      <c r="W27" s="8"/>
      <c r="X27" t="s" s="7">
        <v>194</v>
      </c>
      <c r="Y27" s="8"/>
      <c r="Z27" s="9">
        <v>1</v>
      </c>
      <c r="AA27" s="8"/>
      <c r="AB27" s="9">
        <v>1</v>
      </c>
      <c r="AC27" s="8"/>
      <c r="AD27" t="s" s="7">
        <v>591</v>
      </c>
      <c r="AE27" s="8"/>
      <c r="AF27" s="8"/>
      <c r="AG27" s="8"/>
      <c r="AH27" s="8"/>
      <c r="AI27" s="8"/>
      <c r="AJ27" s="8"/>
      <c r="AK27" s="8"/>
      <c r="AL27" s="8"/>
      <c r="AM27" s="8"/>
      <c r="AN27" s="8"/>
      <c r="AO27" s="8"/>
      <c r="AP27" s="8"/>
      <c r="AQ27" s="8"/>
      <c r="AR27" s="8"/>
      <c r="AS27" s="8"/>
      <c r="AT27" s="8"/>
      <c r="AU27" s="8"/>
      <c r="AV27" s="8"/>
      <c r="AW27" s="8"/>
      <c r="AX27" s="8"/>
      <c r="AY27" s="8"/>
    </row>
    <row r="28" ht="17.45" customHeight="1">
      <c r="A28" t="s" s="7">
        <v>593</v>
      </c>
      <c r="B28" t="s" s="7">
        <v>594</v>
      </c>
      <c r="C28" s="8"/>
      <c r="D28" t="s" s="7">
        <v>531</v>
      </c>
      <c r="E28" t="s" s="7">
        <v>595</v>
      </c>
      <c r="F28" t="s" s="7">
        <v>596</v>
      </c>
      <c r="G28" s="8"/>
      <c r="H28" s="9">
        <v>1</v>
      </c>
      <c r="I28" s="8"/>
      <c r="J28" s="8"/>
      <c r="K28" s="9">
        <v>1</v>
      </c>
      <c r="L28" s="8"/>
      <c r="M28" s="8"/>
      <c r="N28" s="8"/>
      <c r="O28" s="8"/>
      <c r="P28" s="8"/>
      <c r="Q28" s="35">
        <v>35</v>
      </c>
      <c r="R28" s="9">
        <v>1</v>
      </c>
      <c r="S28" s="8"/>
      <c r="T28" s="8"/>
      <c r="U28" s="8"/>
      <c r="V28" s="8"/>
      <c r="W28" s="8"/>
      <c r="X28" t="s" s="7">
        <v>360</v>
      </c>
      <c r="Y28" t="s" s="7">
        <v>597</v>
      </c>
      <c r="Z28" s="9">
        <v>1</v>
      </c>
      <c r="AA28" s="8"/>
      <c r="AB28" s="9">
        <v>1</v>
      </c>
      <c r="AC28" s="8"/>
      <c r="AD28" t="s" s="7">
        <v>348</v>
      </c>
      <c r="AE28" s="8"/>
      <c r="AF28" s="8"/>
      <c r="AG28" s="8"/>
      <c r="AH28" s="8"/>
      <c r="AI28" s="8"/>
      <c r="AJ28" s="8"/>
      <c r="AK28" s="8"/>
      <c r="AL28" s="8"/>
      <c r="AM28" s="8"/>
      <c r="AN28" s="8"/>
      <c r="AO28" s="8"/>
      <c r="AP28" s="8"/>
      <c r="AQ28" s="8"/>
      <c r="AR28" s="8"/>
      <c r="AS28" s="8"/>
      <c r="AT28" s="8"/>
      <c r="AU28" s="8"/>
      <c r="AV28" s="8"/>
      <c r="AW28" s="8"/>
      <c r="AX28" s="8"/>
      <c r="AY28" s="8"/>
    </row>
    <row r="29" ht="17.45" customHeight="1">
      <c r="A29" t="s" s="7">
        <v>593</v>
      </c>
      <c r="B29" t="s" s="7">
        <v>594</v>
      </c>
      <c r="C29" s="8"/>
      <c r="D29" t="s" s="7">
        <v>531</v>
      </c>
      <c r="E29" t="s" s="7">
        <v>595</v>
      </c>
      <c r="F29" t="s" s="7">
        <v>598</v>
      </c>
      <c r="G29" s="9">
        <v>1</v>
      </c>
      <c r="H29" s="8"/>
      <c r="I29" s="8"/>
      <c r="J29" s="8"/>
      <c r="K29" s="8"/>
      <c r="L29" s="9">
        <v>1</v>
      </c>
      <c r="M29" s="8"/>
      <c r="N29" s="8"/>
      <c r="O29" s="8"/>
      <c r="P29" s="8"/>
      <c r="Q29" s="35">
        <v>28</v>
      </c>
      <c r="R29" s="9">
        <v>1</v>
      </c>
      <c r="S29" s="8"/>
      <c r="T29" s="8"/>
      <c r="U29" s="9">
        <v>4</v>
      </c>
      <c r="V29" s="8"/>
      <c r="W29" s="8"/>
      <c r="X29" s="8"/>
      <c r="Y29" s="8"/>
      <c r="Z29" s="8"/>
      <c r="AA29" s="8"/>
      <c r="AB29" s="8"/>
      <c r="AC29" s="8"/>
      <c r="AD29" t="s" s="7">
        <v>429</v>
      </c>
      <c r="AE29" s="8"/>
      <c r="AF29" s="8"/>
      <c r="AG29" s="8"/>
      <c r="AH29" s="8"/>
      <c r="AI29" s="8"/>
      <c r="AJ29" s="8"/>
      <c r="AK29" s="8"/>
      <c r="AL29" s="8"/>
      <c r="AM29" s="8"/>
      <c r="AN29" s="8"/>
      <c r="AO29" s="8"/>
      <c r="AP29" s="8"/>
      <c r="AQ29" s="8"/>
      <c r="AR29" s="8"/>
      <c r="AS29" s="8"/>
      <c r="AT29" s="8"/>
      <c r="AU29" s="8"/>
      <c r="AV29" s="8"/>
      <c r="AW29" s="8"/>
      <c r="AX29" s="8"/>
      <c r="AY29" s="8"/>
    </row>
    <row r="30" ht="17.45" customHeight="1">
      <c r="A30" t="s" s="7">
        <v>593</v>
      </c>
      <c r="B30" t="s" s="7">
        <v>594</v>
      </c>
      <c r="C30" s="8"/>
      <c r="D30" t="s" s="7">
        <v>531</v>
      </c>
      <c r="E30" t="s" s="7">
        <v>599</v>
      </c>
      <c r="F30" t="s" s="7">
        <v>260</v>
      </c>
      <c r="G30" s="9">
        <v>1</v>
      </c>
      <c r="H30" s="8"/>
      <c r="I30" s="8"/>
      <c r="J30" s="8"/>
      <c r="K30" s="8"/>
      <c r="L30" s="8"/>
      <c r="M30" s="8"/>
      <c r="N30" s="8"/>
      <c r="O30" s="8"/>
      <c r="P30" s="9">
        <v>1</v>
      </c>
      <c r="Q30" s="35">
        <v>15</v>
      </c>
      <c r="R30" s="8"/>
      <c r="S30" s="9">
        <v>1</v>
      </c>
      <c r="T30" s="8"/>
      <c r="U30" s="8"/>
      <c r="V30" s="8"/>
      <c r="W30" s="8"/>
      <c r="X30" t="s" s="7">
        <v>138</v>
      </c>
      <c r="Y30" s="8"/>
      <c r="Z30" s="9">
        <v>1</v>
      </c>
      <c r="AA30" s="8"/>
      <c r="AB30" t="s" s="7">
        <v>600</v>
      </c>
      <c r="AC30" s="8"/>
      <c r="AD30" t="s" s="7">
        <v>601</v>
      </c>
      <c r="AE30" s="8"/>
      <c r="AF30" s="8"/>
      <c r="AG30" s="8"/>
      <c r="AH30" s="8"/>
      <c r="AI30" s="8"/>
      <c r="AJ30" s="8"/>
      <c r="AK30" s="8"/>
      <c r="AL30" s="8"/>
      <c r="AM30" s="8"/>
      <c r="AN30" s="8"/>
      <c r="AO30" s="8"/>
      <c r="AP30" s="8"/>
      <c r="AQ30" s="8"/>
      <c r="AR30" s="8"/>
      <c r="AS30" s="8"/>
      <c r="AT30" s="8"/>
      <c r="AU30" s="8"/>
      <c r="AV30" s="8"/>
      <c r="AW30" s="8"/>
      <c r="AX30" s="8"/>
      <c r="AY30" s="8"/>
    </row>
    <row r="31" ht="17.45" customHeight="1">
      <c r="A31" t="s" s="7">
        <v>602</v>
      </c>
      <c r="B31" t="s" s="7">
        <v>603</v>
      </c>
      <c r="C31" s="8"/>
      <c r="D31" t="s" s="7">
        <v>531</v>
      </c>
      <c r="E31" t="s" s="7">
        <v>604</v>
      </c>
      <c r="F31" t="s" s="7">
        <v>605</v>
      </c>
      <c r="G31" s="8"/>
      <c r="H31" s="9">
        <v>1</v>
      </c>
      <c r="I31" s="8"/>
      <c r="J31" s="8"/>
      <c r="K31" s="9">
        <v>1</v>
      </c>
      <c r="L31" s="8"/>
      <c r="M31" s="8"/>
      <c r="N31" s="8"/>
      <c r="O31" s="8"/>
      <c r="P31" s="8"/>
      <c r="Q31" s="35">
        <v>68</v>
      </c>
      <c r="R31" s="9">
        <v>1</v>
      </c>
      <c r="S31" s="8"/>
      <c r="T31" s="8"/>
      <c r="U31" s="8"/>
      <c r="V31" s="8"/>
      <c r="W31" s="8"/>
      <c r="X31" t="s" s="7">
        <v>606</v>
      </c>
      <c r="Y31" s="8"/>
      <c r="Z31" s="9">
        <v>1</v>
      </c>
      <c r="AA31" s="8"/>
      <c r="AB31" s="9">
        <v>1</v>
      </c>
      <c r="AC31" s="8"/>
      <c r="AD31" t="s" s="7">
        <v>607</v>
      </c>
      <c r="AE31" s="8"/>
      <c r="AF31" s="8"/>
      <c r="AG31" s="8"/>
      <c r="AH31" s="8"/>
      <c r="AI31" s="8"/>
      <c r="AJ31" s="8"/>
      <c r="AK31" s="8"/>
      <c r="AL31" s="8"/>
      <c r="AM31" s="8"/>
      <c r="AN31" s="8"/>
      <c r="AO31" s="8"/>
      <c r="AP31" s="8"/>
      <c r="AQ31" s="8"/>
      <c r="AR31" s="8"/>
      <c r="AS31" s="8"/>
      <c r="AT31" s="8"/>
      <c r="AU31" s="8"/>
      <c r="AV31" s="8"/>
      <c r="AW31" s="8"/>
      <c r="AX31" s="8"/>
      <c r="AY31" s="8"/>
    </row>
    <row r="32" ht="17.45" customHeight="1">
      <c r="A32" t="s" s="7">
        <v>602</v>
      </c>
      <c r="B32" t="s" s="7">
        <v>603</v>
      </c>
      <c r="C32" s="8"/>
      <c r="D32" t="s" s="7">
        <v>531</v>
      </c>
      <c r="E32" t="s" s="7">
        <v>604</v>
      </c>
      <c r="F32" t="s" s="7">
        <v>608</v>
      </c>
      <c r="G32" s="9">
        <v>1</v>
      </c>
      <c r="H32" s="8"/>
      <c r="I32" s="8"/>
      <c r="J32" s="8"/>
      <c r="K32" s="8"/>
      <c r="L32" s="9">
        <v>1</v>
      </c>
      <c r="M32" s="8"/>
      <c r="N32" s="8"/>
      <c r="O32" s="8"/>
      <c r="P32" s="8"/>
      <c r="Q32" s="35">
        <v>60</v>
      </c>
      <c r="R32" s="9">
        <v>1</v>
      </c>
      <c r="S32" s="8"/>
      <c r="T32" s="8"/>
      <c r="U32" s="9">
        <v>14</v>
      </c>
      <c r="V32" s="8"/>
      <c r="W32" s="8"/>
      <c r="X32" s="8"/>
      <c r="Y32" s="8"/>
      <c r="Z32" s="8"/>
      <c r="AA32" s="8"/>
      <c r="AB32" s="8"/>
      <c r="AC32" s="9">
        <v>1</v>
      </c>
      <c r="AD32" s="8"/>
      <c r="AE32" s="8"/>
      <c r="AF32" s="8"/>
      <c r="AG32" s="8"/>
      <c r="AH32" s="8"/>
      <c r="AI32" s="8"/>
      <c r="AJ32" s="8"/>
      <c r="AK32" s="8"/>
      <c r="AL32" s="8"/>
      <c r="AM32" s="8"/>
      <c r="AN32" s="8"/>
      <c r="AO32" s="8"/>
      <c r="AP32" s="8"/>
      <c r="AQ32" s="8"/>
      <c r="AR32" s="8"/>
      <c r="AS32" s="8"/>
      <c r="AT32" s="8"/>
      <c r="AU32" s="8"/>
      <c r="AV32" s="8"/>
      <c r="AW32" s="8"/>
      <c r="AX32" s="8"/>
      <c r="AY32" s="8"/>
    </row>
    <row r="33" ht="17.45" customHeight="1">
      <c r="A33" t="s" s="7">
        <v>602</v>
      </c>
      <c r="B33" t="s" s="7">
        <v>603</v>
      </c>
      <c r="C33" s="8"/>
      <c r="D33" t="s" s="7">
        <v>531</v>
      </c>
      <c r="E33" t="s" s="7">
        <v>609</v>
      </c>
      <c r="F33" t="s" s="7">
        <v>610</v>
      </c>
      <c r="G33" s="9">
        <v>1</v>
      </c>
      <c r="H33" s="8"/>
      <c r="I33" s="8"/>
      <c r="J33" s="8"/>
      <c r="K33" s="8"/>
      <c r="L33" s="8"/>
      <c r="M33" s="8"/>
      <c r="N33" s="8"/>
      <c r="O33" s="8"/>
      <c r="P33" s="9">
        <v>1</v>
      </c>
      <c r="Q33" s="35">
        <v>19</v>
      </c>
      <c r="R33" s="8"/>
      <c r="S33" s="9">
        <v>1</v>
      </c>
      <c r="T33" s="8"/>
      <c r="U33" s="8"/>
      <c r="V33" s="8"/>
      <c r="W33" s="8"/>
      <c r="X33" t="s" s="7">
        <v>547</v>
      </c>
      <c r="Y33" s="8"/>
      <c r="Z33" s="9">
        <v>1</v>
      </c>
      <c r="AA33" s="8"/>
      <c r="AB33" t="s" s="7">
        <v>600</v>
      </c>
      <c r="AC33" s="8"/>
      <c r="AD33" t="s" s="7">
        <v>146</v>
      </c>
      <c r="AE33" s="8"/>
      <c r="AF33" s="8"/>
      <c r="AG33" s="8"/>
      <c r="AH33" s="8"/>
      <c r="AI33" s="8"/>
      <c r="AJ33" s="8"/>
      <c r="AK33" s="8"/>
      <c r="AL33" s="8"/>
      <c r="AM33" s="8"/>
      <c r="AN33" s="8"/>
      <c r="AO33" s="8"/>
      <c r="AP33" s="8"/>
      <c r="AQ33" s="8"/>
      <c r="AR33" s="8"/>
      <c r="AS33" s="8"/>
      <c r="AT33" s="8"/>
      <c r="AU33" s="8"/>
      <c r="AV33" s="8"/>
      <c r="AW33" s="8"/>
      <c r="AX33" s="8"/>
      <c r="AY33" s="8"/>
    </row>
    <row r="34" ht="17.45" customHeight="1">
      <c r="A34" t="s" s="7">
        <v>611</v>
      </c>
      <c r="B34" s="8"/>
      <c r="C34" s="9">
        <v>3</v>
      </c>
      <c r="D34" t="s" s="7">
        <v>531</v>
      </c>
      <c r="E34" t="s" s="7">
        <v>444</v>
      </c>
      <c r="F34" t="s" s="7">
        <v>612</v>
      </c>
      <c r="G34" s="8"/>
      <c r="H34" s="9">
        <v>1</v>
      </c>
      <c r="I34" s="8"/>
      <c r="J34" s="8"/>
      <c r="K34" s="9">
        <v>1</v>
      </c>
      <c r="L34" s="8"/>
      <c r="M34" s="8"/>
      <c r="N34" s="8"/>
      <c r="O34" s="8"/>
      <c r="P34" s="8"/>
      <c r="Q34" s="35">
        <v>47</v>
      </c>
      <c r="R34" s="9">
        <v>1</v>
      </c>
      <c r="S34" s="8"/>
      <c r="T34" s="8"/>
      <c r="U34" s="8"/>
      <c r="V34" s="8"/>
      <c r="W34" s="8"/>
      <c r="X34" t="s" s="7">
        <v>613</v>
      </c>
      <c r="Y34" s="8"/>
      <c r="Z34" s="9">
        <v>1</v>
      </c>
      <c r="AA34" s="9">
        <v>1</v>
      </c>
      <c r="AB34" s="8"/>
      <c r="AC34" s="8"/>
      <c r="AD34" t="s" s="7">
        <v>400</v>
      </c>
      <c r="AE34" s="8"/>
      <c r="AF34" s="8"/>
      <c r="AG34" s="8"/>
      <c r="AH34" s="8"/>
      <c r="AI34" s="8"/>
      <c r="AJ34" s="8"/>
      <c r="AK34" s="8"/>
      <c r="AL34" s="8"/>
      <c r="AM34" s="8"/>
      <c r="AN34" s="8"/>
      <c r="AO34" s="8"/>
      <c r="AP34" s="8"/>
      <c r="AQ34" s="8"/>
      <c r="AR34" s="8"/>
      <c r="AS34" s="8"/>
      <c r="AT34" s="8"/>
      <c r="AU34" s="8"/>
      <c r="AV34" s="8"/>
      <c r="AW34" s="8"/>
      <c r="AX34" s="8"/>
      <c r="AY34" s="8"/>
    </row>
    <row r="35" ht="17.45" customHeight="1">
      <c r="A35" t="s" s="7">
        <v>611</v>
      </c>
      <c r="B35" s="8"/>
      <c r="C35" s="9">
        <v>3</v>
      </c>
      <c r="D35" t="s" s="7">
        <v>531</v>
      </c>
      <c r="E35" t="s" s="7">
        <v>444</v>
      </c>
      <c r="F35" t="s" s="7">
        <v>248</v>
      </c>
      <c r="G35" s="9">
        <v>1</v>
      </c>
      <c r="H35" s="8"/>
      <c r="I35" s="8"/>
      <c r="J35" s="8"/>
      <c r="K35" s="8"/>
      <c r="L35" s="9">
        <v>1</v>
      </c>
      <c r="M35" s="8"/>
      <c r="N35" s="8"/>
      <c r="O35" s="8"/>
      <c r="P35" s="8"/>
      <c r="Q35" s="35">
        <v>48</v>
      </c>
      <c r="R35" s="9">
        <v>1</v>
      </c>
      <c r="S35" s="8"/>
      <c r="T35" s="8"/>
      <c r="U35" s="9">
        <v>21</v>
      </c>
      <c r="V35" s="9">
        <v>4</v>
      </c>
      <c r="W35" s="9">
        <v>3</v>
      </c>
      <c r="X35" s="8"/>
      <c r="Y35" s="8"/>
      <c r="Z35" s="8"/>
      <c r="AA35" s="8"/>
      <c r="AB35" s="8"/>
      <c r="AC35" s="8"/>
      <c r="AD35" t="s" s="7">
        <v>614</v>
      </c>
      <c r="AE35" s="8"/>
      <c r="AF35" s="8"/>
      <c r="AG35" s="8"/>
      <c r="AH35" s="8"/>
      <c r="AI35" s="8"/>
      <c r="AJ35" s="8"/>
      <c r="AK35" s="8"/>
      <c r="AL35" s="8"/>
      <c r="AM35" s="8"/>
      <c r="AN35" s="8"/>
      <c r="AO35" s="8"/>
      <c r="AP35" s="8"/>
      <c r="AQ35" s="8"/>
      <c r="AR35" s="8"/>
      <c r="AS35" s="8"/>
      <c r="AT35" s="8"/>
      <c r="AU35" s="8"/>
      <c r="AV35" s="8"/>
      <c r="AW35" s="8"/>
      <c r="AX35" s="8"/>
      <c r="AY35" s="8"/>
    </row>
    <row r="36" ht="17.45" customHeight="1">
      <c r="A36" t="s" s="7">
        <v>611</v>
      </c>
      <c r="B36" s="8"/>
      <c r="C36" s="9">
        <v>3</v>
      </c>
      <c r="D36" t="s" s="7">
        <v>531</v>
      </c>
      <c r="E36" t="s" s="7">
        <v>444</v>
      </c>
      <c r="F36" t="s" s="7">
        <v>615</v>
      </c>
      <c r="G36" s="8"/>
      <c r="H36" s="9">
        <v>1</v>
      </c>
      <c r="I36" s="8"/>
      <c r="J36" s="8"/>
      <c r="K36" s="8"/>
      <c r="L36" s="8"/>
      <c r="M36" s="8"/>
      <c r="N36" s="9">
        <v>1</v>
      </c>
      <c r="O36" s="8"/>
      <c r="P36" s="8"/>
      <c r="Q36" s="35">
        <v>20</v>
      </c>
      <c r="R36" s="8"/>
      <c r="S36" s="9">
        <v>1</v>
      </c>
      <c r="T36" s="8"/>
      <c r="U36" s="8"/>
      <c r="V36" s="8"/>
      <c r="W36" s="8"/>
      <c r="X36" t="s" s="7">
        <v>616</v>
      </c>
      <c r="Y36" s="8"/>
      <c r="Z36" s="9">
        <v>1</v>
      </c>
      <c r="AA36" s="8"/>
      <c r="AB36" s="9">
        <v>1</v>
      </c>
      <c r="AC36" s="9">
        <v>1</v>
      </c>
      <c r="AD36" s="8"/>
      <c r="AE36" s="8"/>
      <c r="AF36" s="8"/>
      <c r="AG36" s="8"/>
      <c r="AH36" s="8"/>
      <c r="AI36" s="8"/>
      <c r="AJ36" s="8"/>
      <c r="AK36" s="8"/>
      <c r="AL36" s="8"/>
      <c r="AM36" s="8"/>
      <c r="AN36" s="8"/>
      <c r="AO36" s="8"/>
      <c r="AP36" s="8"/>
      <c r="AQ36" s="8"/>
      <c r="AR36" s="8"/>
      <c r="AS36" s="8"/>
      <c r="AT36" s="8"/>
      <c r="AU36" s="8"/>
      <c r="AV36" s="8"/>
      <c r="AW36" s="8"/>
      <c r="AX36" s="8"/>
      <c r="AY36" s="8"/>
    </row>
    <row r="37" ht="17.45" customHeight="1">
      <c r="A37" t="s" s="7">
        <v>611</v>
      </c>
      <c r="B37" s="8"/>
      <c r="C37" s="9">
        <v>3</v>
      </c>
      <c r="D37" t="s" s="7">
        <v>531</v>
      </c>
      <c r="E37" t="s" s="7">
        <v>444</v>
      </c>
      <c r="F37" t="s" s="7">
        <v>617</v>
      </c>
      <c r="G37" s="9">
        <v>1</v>
      </c>
      <c r="H37" s="8"/>
      <c r="I37" s="8"/>
      <c r="J37" s="8"/>
      <c r="K37" s="8"/>
      <c r="L37" s="8"/>
      <c r="M37" s="9">
        <v>1</v>
      </c>
      <c r="N37" s="8"/>
      <c r="O37" s="8"/>
      <c r="P37" s="8"/>
      <c r="Q37" s="35">
        <v>19</v>
      </c>
      <c r="R37" s="8"/>
      <c r="S37" s="9">
        <v>1</v>
      </c>
      <c r="T37" s="8"/>
      <c r="U37" s="8"/>
      <c r="V37" s="8"/>
      <c r="W37" s="8"/>
      <c r="X37" s="8"/>
      <c r="Y37" s="8"/>
      <c r="Z37" s="8"/>
      <c r="AA37" s="8"/>
      <c r="AB37" s="8"/>
      <c r="AC37" s="9">
        <v>1</v>
      </c>
      <c r="AD37" s="8"/>
      <c r="AE37" s="8"/>
      <c r="AF37" s="8"/>
      <c r="AG37" s="8"/>
      <c r="AH37" s="8"/>
      <c r="AI37" s="8"/>
      <c r="AJ37" s="8"/>
      <c r="AK37" s="8"/>
      <c r="AL37" s="8"/>
      <c r="AM37" s="8"/>
      <c r="AN37" s="8"/>
      <c r="AO37" s="8"/>
      <c r="AP37" s="8"/>
      <c r="AQ37" s="8"/>
      <c r="AR37" s="8"/>
      <c r="AS37" s="8"/>
      <c r="AT37" s="8"/>
      <c r="AU37" s="8"/>
      <c r="AV37" s="8"/>
      <c r="AW37" s="8"/>
      <c r="AX37" s="8"/>
      <c r="AY37" s="8"/>
    </row>
    <row r="38" ht="17.45" customHeight="1">
      <c r="A38" t="s" s="7">
        <v>611</v>
      </c>
      <c r="B38" s="8"/>
      <c r="C38" s="9">
        <v>3</v>
      </c>
      <c r="D38" t="s" s="7">
        <v>531</v>
      </c>
      <c r="E38" t="s" s="7">
        <v>444</v>
      </c>
      <c r="F38" t="s" s="7">
        <v>618</v>
      </c>
      <c r="G38" s="8"/>
      <c r="H38" s="8"/>
      <c r="I38" s="9">
        <v>1</v>
      </c>
      <c r="J38" s="8"/>
      <c r="K38" s="8"/>
      <c r="L38" s="8"/>
      <c r="M38" s="9">
        <v>1</v>
      </c>
      <c r="N38" s="8"/>
      <c r="O38" s="8"/>
      <c r="P38" s="8"/>
      <c r="Q38" s="35">
        <v>9</v>
      </c>
      <c r="R38" s="8"/>
      <c r="S38" s="8"/>
      <c r="T38" s="8"/>
      <c r="U38" s="8"/>
      <c r="V38" s="8"/>
      <c r="W38" s="8"/>
      <c r="X38" t="s" s="7">
        <v>246</v>
      </c>
      <c r="Y38" s="8"/>
      <c r="Z38" s="8"/>
      <c r="AA38" s="8"/>
      <c r="AB38" s="8"/>
      <c r="AC38" s="9">
        <v>1</v>
      </c>
      <c r="AD38" s="8"/>
      <c r="AE38" s="8"/>
      <c r="AF38" s="8"/>
      <c r="AG38" s="8"/>
      <c r="AH38" s="8"/>
      <c r="AI38" s="8"/>
      <c r="AJ38" s="8"/>
      <c r="AK38" s="8"/>
      <c r="AL38" s="8"/>
      <c r="AM38" s="8"/>
      <c r="AN38" s="8"/>
      <c r="AO38" s="8"/>
      <c r="AP38" s="8"/>
      <c r="AQ38" s="8"/>
      <c r="AR38" s="8"/>
      <c r="AS38" s="8"/>
      <c r="AT38" s="8"/>
      <c r="AU38" s="8"/>
      <c r="AV38" s="8"/>
      <c r="AW38" s="8"/>
      <c r="AX38" s="8"/>
      <c r="AY38" s="8"/>
    </row>
    <row r="39" ht="17.45" customHeight="1">
      <c r="A39" t="s" s="7">
        <v>619</v>
      </c>
      <c r="B39" s="8"/>
      <c r="C39" s="9">
        <v>2</v>
      </c>
      <c r="D39" t="s" s="7">
        <v>531</v>
      </c>
      <c r="E39" t="s" s="7">
        <v>620</v>
      </c>
      <c r="F39" t="s" s="7">
        <v>621</v>
      </c>
      <c r="G39" s="9">
        <v>1</v>
      </c>
      <c r="H39" s="8"/>
      <c r="I39" s="8"/>
      <c r="J39" s="8"/>
      <c r="K39" s="9">
        <v>1</v>
      </c>
      <c r="L39" s="8"/>
      <c r="M39" s="8"/>
      <c r="N39" s="8"/>
      <c r="O39" s="8"/>
      <c r="P39" s="8"/>
      <c r="Q39" s="35">
        <v>55</v>
      </c>
      <c r="R39" s="8"/>
      <c r="S39" s="8"/>
      <c r="T39" s="9">
        <v>1</v>
      </c>
      <c r="U39" s="8"/>
      <c r="V39" s="9">
        <v>4</v>
      </c>
      <c r="W39" s="9">
        <v>4</v>
      </c>
      <c r="X39" s="8"/>
      <c r="Y39" s="8"/>
      <c r="Z39" s="8"/>
      <c r="AA39" s="8"/>
      <c r="AB39" s="8"/>
      <c r="AC39" s="8"/>
      <c r="AD39" t="s" s="7">
        <v>622</v>
      </c>
      <c r="AE39" s="8"/>
      <c r="AF39" s="8"/>
      <c r="AG39" s="8"/>
      <c r="AH39" s="8"/>
      <c r="AI39" s="8"/>
      <c r="AJ39" s="8"/>
      <c r="AK39" s="8"/>
      <c r="AL39" s="8"/>
      <c r="AM39" s="8"/>
      <c r="AN39" s="8"/>
      <c r="AO39" s="8"/>
      <c r="AP39" s="8"/>
      <c r="AQ39" s="8"/>
      <c r="AR39" s="8"/>
      <c r="AS39" s="8"/>
      <c r="AT39" s="8"/>
      <c r="AU39" s="8"/>
      <c r="AV39" s="8"/>
      <c r="AW39" s="8"/>
      <c r="AX39" s="8"/>
      <c r="AY39" s="8"/>
    </row>
    <row r="40" ht="17.45" customHeight="1">
      <c r="A40" t="s" s="7">
        <v>619</v>
      </c>
      <c r="B40" s="8"/>
      <c r="C40" s="9">
        <v>2</v>
      </c>
      <c r="D40" t="s" s="7">
        <v>531</v>
      </c>
      <c r="E40" t="s" s="7">
        <v>620</v>
      </c>
      <c r="F40" t="s" s="7">
        <v>623</v>
      </c>
      <c r="G40" s="8"/>
      <c r="H40" s="9">
        <v>1</v>
      </c>
      <c r="I40" s="8"/>
      <c r="J40" s="8"/>
      <c r="K40" s="8"/>
      <c r="L40" s="8"/>
      <c r="M40" s="8"/>
      <c r="N40" s="9">
        <v>1</v>
      </c>
      <c r="O40" s="8"/>
      <c r="P40" s="8"/>
      <c r="Q40" s="35">
        <v>22</v>
      </c>
      <c r="R40" s="8"/>
      <c r="S40" s="9">
        <v>1</v>
      </c>
      <c r="T40" s="8"/>
      <c r="U40" s="8"/>
      <c r="V40" s="8"/>
      <c r="W40" s="8"/>
      <c r="X40" t="s" s="7">
        <v>624</v>
      </c>
      <c r="Y40" s="8"/>
      <c r="Z40" s="8"/>
      <c r="AA40" s="8"/>
      <c r="AB40" s="8"/>
      <c r="AC40" s="9">
        <v>1</v>
      </c>
      <c r="AD40" s="8"/>
      <c r="AE40" s="8"/>
      <c r="AF40" s="8"/>
      <c r="AG40" s="8"/>
      <c r="AH40" s="8"/>
      <c r="AI40" s="8"/>
      <c r="AJ40" s="8"/>
      <c r="AK40" s="8"/>
      <c r="AL40" s="8"/>
      <c r="AM40" s="8"/>
      <c r="AN40" s="8"/>
      <c r="AO40" s="8"/>
      <c r="AP40" s="8"/>
      <c r="AQ40" s="8"/>
      <c r="AR40" s="8"/>
      <c r="AS40" s="8"/>
      <c r="AT40" s="8"/>
      <c r="AU40" s="8"/>
      <c r="AV40" s="8"/>
      <c r="AW40" s="8"/>
      <c r="AX40" s="8"/>
      <c r="AY40" s="8"/>
    </row>
    <row r="41" ht="17.45" customHeight="1">
      <c r="A41" t="s" s="7">
        <v>619</v>
      </c>
      <c r="B41" s="8"/>
      <c r="C41" s="9">
        <v>2</v>
      </c>
      <c r="D41" t="s" s="7">
        <v>531</v>
      </c>
      <c r="E41" t="s" s="7">
        <v>620</v>
      </c>
      <c r="F41" t="s" s="7">
        <v>625</v>
      </c>
      <c r="G41" s="9">
        <v>1</v>
      </c>
      <c r="H41" s="8"/>
      <c r="I41" s="8"/>
      <c r="J41" s="8"/>
      <c r="K41" s="8"/>
      <c r="L41" s="8"/>
      <c r="M41" s="9">
        <v>1</v>
      </c>
      <c r="N41" s="8"/>
      <c r="O41" s="8"/>
      <c r="P41" s="8"/>
      <c r="Q41" s="35">
        <v>18</v>
      </c>
      <c r="R41" s="8"/>
      <c r="S41" s="9">
        <v>1</v>
      </c>
      <c r="T41" s="8"/>
      <c r="U41" s="8"/>
      <c r="V41" s="8"/>
      <c r="W41" s="8"/>
      <c r="X41" t="s" s="7">
        <v>246</v>
      </c>
      <c r="Y41" s="8"/>
      <c r="Z41" s="8"/>
      <c r="AA41" s="8"/>
      <c r="AB41" s="8"/>
      <c r="AC41" s="9">
        <v>1</v>
      </c>
      <c r="AD41" s="8"/>
      <c r="AE41" s="8"/>
      <c r="AF41" s="8"/>
      <c r="AG41" s="8"/>
      <c r="AH41" s="8"/>
      <c r="AI41" s="8"/>
      <c r="AJ41" s="8"/>
      <c r="AK41" s="8"/>
      <c r="AL41" s="8"/>
      <c r="AM41" s="8"/>
      <c r="AN41" s="8"/>
      <c r="AO41" s="8"/>
      <c r="AP41" s="8"/>
      <c r="AQ41" s="8"/>
      <c r="AR41" s="8"/>
      <c r="AS41" s="8"/>
      <c r="AT41" s="8"/>
      <c r="AU41" s="8"/>
      <c r="AV41" s="8"/>
      <c r="AW41" s="8"/>
      <c r="AX41" s="8"/>
      <c r="AY41" s="8"/>
    </row>
    <row r="42" ht="17.45" customHeight="1">
      <c r="A42" t="s" s="7">
        <v>619</v>
      </c>
      <c r="B42" s="8"/>
      <c r="C42" s="9">
        <v>2</v>
      </c>
      <c r="D42" t="s" s="7">
        <v>531</v>
      </c>
      <c r="E42" t="s" s="7">
        <v>626</v>
      </c>
      <c r="F42" t="s" s="7">
        <v>451</v>
      </c>
      <c r="G42" s="9">
        <v>1</v>
      </c>
      <c r="H42" s="8"/>
      <c r="I42" s="8"/>
      <c r="J42" s="8"/>
      <c r="K42" s="8"/>
      <c r="L42" s="8"/>
      <c r="M42" s="8"/>
      <c r="N42" s="8"/>
      <c r="O42" s="8"/>
      <c r="P42" s="9">
        <v>1</v>
      </c>
      <c r="Q42" s="35">
        <v>26</v>
      </c>
      <c r="R42" s="8"/>
      <c r="S42" s="9">
        <v>1</v>
      </c>
      <c r="T42" s="8"/>
      <c r="U42" s="8"/>
      <c r="V42" s="8"/>
      <c r="W42" s="8"/>
      <c r="X42" t="s" s="7">
        <v>547</v>
      </c>
      <c r="Y42" s="8"/>
      <c r="Z42" s="9">
        <v>1</v>
      </c>
      <c r="AA42" s="8"/>
      <c r="AB42" s="8"/>
      <c r="AC42" s="8"/>
      <c r="AD42" t="s" s="7">
        <v>240</v>
      </c>
      <c r="AE42" s="8"/>
      <c r="AF42" s="8"/>
      <c r="AG42" s="8"/>
      <c r="AH42" s="8"/>
      <c r="AI42" s="8"/>
      <c r="AJ42" s="8"/>
      <c r="AK42" s="8"/>
      <c r="AL42" s="8"/>
      <c r="AM42" s="8"/>
      <c r="AN42" s="8"/>
      <c r="AO42" s="8"/>
      <c r="AP42" s="8"/>
      <c r="AQ42" s="8"/>
      <c r="AR42" s="8"/>
      <c r="AS42" s="8"/>
      <c r="AT42" s="8"/>
      <c r="AU42" s="8"/>
      <c r="AV42" s="8"/>
      <c r="AW42" s="8"/>
      <c r="AX42" s="8"/>
      <c r="AY42" s="8"/>
    </row>
    <row r="43" ht="17.45" customHeight="1">
      <c r="A43" t="s" s="7">
        <v>627</v>
      </c>
      <c r="B43" s="8"/>
      <c r="C43" s="9">
        <v>1</v>
      </c>
      <c r="D43" t="s" s="7">
        <v>531</v>
      </c>
      <c r="E43" t="s" s="7">
        <v>628</v>
      </c>
      <c r="F43" t="s" s="7">
        <v>629</v>
      </c>
      <c r="G43" s="8"/>
      <c r="H43" s="9">
        <v>1</v>
      </c>
      <c r="I43" s="8"/>
      <c r="J43" s="8"/>
      <c r="K43" s="9">
        <v>1</v>
      </c>
      <c r="L43" s="8"/>
      <c r="M43" s="8"/>
      <c r="N43" s="8"/>
      <c r="O43" s="8"/>
      <c r="P43" s="8"/>
      <c r="Q43" s="35">
        <v>60</v>
      </c>
      <c r="R43" s="8"/>
      <c r="S43" s="9">
        <v>1</v>
      </c>
      <c r="T43" s="8"/>
      <c r="U43" s="8"/>
      <c r="V43" s="8"/>
      <c r="W43" s="8"/>
      <c r="X43" t="s" s="7">
        <v>630</v>
      </c>
      <c r="Y43" s="8"/>
      <c r="Z43" s="9">
        <v>1</v>
      </c>
      <c r="AA43" s="9">
        <v>1</v>
      </c>
      <c r="AB43" s="8"/>
      <c r="AC43" s="9">
        <v>1</v>
      </c>
      <c r="AD43" s="8"/>
      <c r="AE43" s="8"/>
      <c r="AF43" s="8"/>
      <c r="AG43" s="8"/>
      <c r="AH43" s="8"/>
      <c r="AI43" s="8"/>
      <c r="AJ43" s="8"/>
      <c r="AK43" s="8"/>
      <c r="AL43" s="8"/>
      <c r="AM43" s="8"/>
      <c r="AN43" s="8"/>
      <c r="AO43" s="8"/>
      <c r="AP43" s="8"/>
      <c r="AQ43" s="8"/>
      <c r="AR43" s="8"/>
      <c r="AS43" s="8"/>
      <c r="AT43" s="8"/>
      <c r="AU43" s="8"/>
      <c r="AV43" s="8"/>
      <c r="AW43" s="8"/>
      <c r="AX43" s="8"/>
      <c r="AY43" s="8"/>
    </row>
    <row r="44" ht="17.45" customHeight="1">
      <c r="A44" t="s" s="7">
        <v>627</v>
      </c>
      <c r="B44" s="8"/>
      <c r="C44" s="9">
        <v>1</v>
      </c>
      <c r="D44" t="s" s="7">
        <v>531</v>
      </c>
      <c r="E44" t="s" s="7">
        <v>454</v>
      </c>
      <c r="F44" t="s" s="7">
        <v>631</v>
      </c>
      <c r="G44" s="9">
        <v>1</v>
      </c>
      <c r="H44" s="8"/>
      <c r="I44" s="8"/>
      <c r="J44" s="8"/>
      <c r="K44" s="8"/>
      <c r="L44" s="8"/>
      <c r="M44" s="8"/>
      <c r="N44" s="8"/>
      <c r="O44" s="8"/>
      <c r="P44" s="9">
        <v>1</v>
      </c>
      <c r="Q44" s="35">
        <v>47</v>
      </c>
      <c r="R44" s="8"/>
      <c r="S44" s="9">
        <v>1</v>
      </c>
      <c r="T44" s="8"/>
      <c r="U44" s="8"/>
      <c r="V44" s="8"/>
      <c r="W44" s="8"/>
      <c r="X44" t="s" s="7">
        <v>159</v>
      </c>
      <c r="Y44" s="8"/>
      <c r="Z44" s="9">
        <v>1</v>
      </c>
      <c r="AA44" s="8"/>
      <c r="AB44" s="8"/>
      <c r="AC44" s="8"/>
      <c r="AD44" t="s" s="7">
        <v>400</v>
      </c>
      <c r="AE44" s="8"/>
      <c r="AF44" s="8"/>
      <c r="AG44" s="8"/>
      <c r="AH44" s="8"/>
      <c r="AI44" s="8"/>
      <c r="AJ44" s="8"/>
      <c r="AK44" s="8"/>
      <c r="AL44" s="8"/>
      <c r="AM44" s="8"/>
      <c r="AN44" s="8"/>
      <c r="AO44" s="8"/>
      <c r="AP44" s="8"/>
      <c r="AQ44" s="8"/>
      <c r="AR44" s="8"/>
      <c r="AS44" s="8"/>
      <c r="AT44" s="8"/>
      <c r="AU44" s="8"/>
      <c r="AV44" s="8"/>
      <c r="AW44" s="8"/>
      <c r="AX44" s="8"/>
      <c r="AY44" s="8"/>
    </row>
    <row r="45" ht="17.45" customHeight="1">
      <c r="A45" t="s" s="7">
        <v>627</v>
      </c>
      <c r="B45" s="8"/>
      <c r="C45" s="9">
        <v>1</v>
      </c>
      <c r="D45" t="s" s="7">
        <v>531</v>
      </c>
      <c r="E45" t="s" s="7">
        <v>632</v>
      </c>
      <c r="F45" t="s" s="7">
        <v>284</v>
      </c>
      <c r="G45" s="9">
        <v>1</v>
      </c>
      <c r="H45" s="8"/>
      <c r="I45" s="8"/>
      <c r="J45" s="8"/>
      <c r="K45" s="8"/>
      <c r="L45" s="8"/>
      <c r="M45" s="8"/>
      <c r="N45" s="8"/>
      <c r="O45" s="8"/>
      <c r="P45" s="9">
        <v>1</v>
      </c>
      <c r="Q45" s="35">
        <v>20</v>
      </c>
      <c r="R45" s="8"/>
      <c r="S45" s="9">
        <v>1</v>
      </c>
      <c r="T45" s="8"/>
      <c r="U45" s="8"/>
      <c r="V45" s="8"/>
      <c r="W45" s="8"/>
      <c r="X45" t="s" s="7">
        <v>162</v>
      </c>
      <c r="Y45" s="8"/>
      <c r="Z45" s="9">
        <v>1</v>
      </c>
      <c r="AA45" s="8"/>
      <c r="AB45" s="8"/>
      <c r="AC45" s="9">
        <v>1</v>
      </c>
      <c r="AD45" s="8"/>
      <c r="AE45" s="8"/>
      <c r="AF45" s="8"/>
      <c r="AG45" s="8"/>
      <c r="AH45" s="8"/>
      <c r="AI45" s="8"/>
      <c r="AJ45" s="8"/>
      <c r="AK45" s="8"/>
      <c r="AL45" s="8"/>
      <c r="AM45" s="8"/>
      <c r="AN45" s="8"/>
      <c r="AO45" s="8"/>
      <c r="AP45" s="8"/>
      <c r="AQ45" s="8"/>
      <c r="AR45" s="8"/>
      <c r="AS45" s="8"/>
      <c r="AT45" s="8"/>
      <c r="AU45" s="8"/>
      <c r="AV45" s="8"/>
      <c r="AW45" s="8"/>
      <c r="AX45" s="8"/>
      <c r="AY45" s="8"/>
    </row>
    <row r="46" ht="17.45" customHeight="1">
      <c r="A46" t="s" s="7">
        <v>633</v>
      </c>
      <c r="B46" s="8"/>
      <c r="C46" s="9">
        <v>4</v>
      </c>
      <c r="D46" t="s" s="7">
        <v>531</v>
      </c>
      <c r="E46" t="s" s="7">
        <v>634</v>
      </c>
      <c r="F46" t="s" s="7">
        <v>550</v>
      </c>
      <c r="G46" s="9">
        <v>1</v>
      </c>
      <c r="H46" s="8"/>
      <c r="I46" s="8"/>
      <c r="J46" s="8"/>
      <c r="K46" s="9">
        <v>1</v>
      </c>
      <c r="L46" s="8"/>
      <c r="M46" s="8"/>
      <c r="N46" s="8"/>
      <c r="O46" s="8"/>
      <c r="P46" s="8"/>
      <c r="Q46" s="35">
        <v>37</v>
      </c>
      <c r="R46" s="9">
        <v>1</v>
      </c>
      <c r="S46" s="8"/>
      <c r="T46" s="8"/>
      <c r="U46" s="8"/>
      <c r="V46" s="8"/>
      <c r="W46" s="8"/>
      <c r="X46" t="s" s="7">
        <v>635</v>
      </c>
      <c r="Y46" t="s" s="7">
        <v>636</v>
      </c>
      <c r="Z46" s="9">
        <v>1</v>
      </c>
      <c r="AA46" s="8"/>
      <c r="AB46" s="8"/>
      <c r="AC46" s="8"/>
      <c r="AD46" t="s" s="7">
        <v>240</v>
      </c>
      <c r="AE46" s="8"/>
      <c r="AF46" s="8"/>
      <c r="AG46" s="8"/>
      <c r="AH46" s="8"/>
      <c r="AI46" s="8"/>
      <c r="AJ46" s="8"/>
      <c r="AK46" s="8"/>
      <c r="AL46" s="8"/>
      <c r="AM46" s="8"/>
      <c r="AN46" s="8"/>
      <c r="AO46" s="8"/>
      <c r="AP46" s="8"/>
      <c r="AQ46" s="8"/>
      <c r="AR46" s="8"/>
      <c r="AS46" s="8"/>
      <c r="AT46" s="8"/>
      <c r="AU46" s="8"/>
      <c r="AV46" s="8"/>
      <c r="AW46" s="8"/>
      <c r="AX46" s="8"/>
      <c r="AY46" s="8"/>
    </row>
    <row r="47" ht="17.45" customHeight="1">
      <c r="A47" t="s" s="7">
        <v>633</v>
      </c>
      <c r="B47" s="8"/>
      <c r="C47" s="9">
        <v>4</v>
      </c>
      <c r="D47" t="s" s="7">
        <v>531</v>
      </c>
      <c r="E47" t="s" s="7">
        <v>634</v>
      </c>
      <c r="F47" t="s" s="7">
        <v>637</v>
      </c>
      <c r="G47" s="9">
        <v>1</v>
      </c>
      <c r="H47" s="8"/>
      <c r="I47" s="8"/>
      <c r="J47" s="8"/>
      <c r="K47" s="8"/>
      <c r="L47" s="9">
        <v>1</v>
      </c>
      <c r="M47" s="8"/>
      <c r="N47" s="8"/>
      <c r="O47" s="8"/>
      <c r="P47" s="8"/>
      <c r="Q47" s="35">
        <v>35</v>
      </c>
      <c r="R47" s="9">
        <v>1</v>
      </c>
      <c r="S47" s="8"/>
      <c r="T47" s="8"/>
      <c r="U47" s="9">
        <v>13</v>
      </c>
      <c r="V47" s="9">
        <v>5</v>
      </c>
      <c r="W47" s="9">
        <v>5</v>
      </c>
      <c r="X47" s="8"/>
      <c r="Y47" s="8"/>
      <c r="Z47" s="8"/>
      <c r="AA47" s="8"/>
      <c r="AB47" s="8"/>
      <c r="AC47" s="9">
        <v>1</v>
      </c>
      <c r="AD47" s="8"/>
      <c r="AE47" s="8"/>
      <c r="AF47" s="8"/>
      <c r="AG47" s="8"/>
      <c r="AH47" s="8"/>
      <c r="AI47" s="8"/>
      <c r="AJ47" s="8"/>
      <c r="AK47" s="8"/>
      <c r="AL47" s="8"/>
      <c r="AM47" s="8"/>
      <c r="AN47" s="8"/>
      <c r="AO47" s="8"/>
      <c r="AP47" s="8"/>
      <c r="AQ47" s="8"/>
      <c r="AR47" s="8"/>
      <c r="AS47" s="8"/>
      <c r="AT47" s="8"/>
      <c r="AU47" s="8"/>
      <c r="AV47" s="8"/>
      <c r="AW47" s="8"/>
      <c r="AX47" s="8"/>
      <c r="AY47" s="8"/>
    </row>
    <row r="48" ht="17.45" customHeight="1">
      <c r="A48" t="s" s="7">
        <v>633</v>
      </c>
      <c r="B48" s="8"/>
      <c r="C48" s="9">
        <v>4</v>
      </c>
      <c r="D48" t="s" s="7">
        <v>531</v>
      </c>
      <c r="E48" t="s" s="7">
        <v>634</v>
      </c>
      <c r="F48" t="s" s="7">
        <v>638</v>
      </c>
      <c r="G48" s="8"/>
      <c r="H48" s="9">
        <v>1</v>
      </c>
      <c r="I48" s="8"/>
      <c r="J48" s="8"/>
      <c r="K48" s="8"/>
      <c r="L48" s="8"/>
      <c r="M48" s="8"/>
      <c r="N48" s="9">
        <v>1</v>
      </c>
      <c r="O48" s="8"/>
      <c r="P48" s="8"/>
      <c r="Q48" s="35">
        <v>12</v>
      </c>
      <c r="R48" s="8"/>
      <c r="S48" s="8"/>
      <c r="T48" s="8"/>
      <c r="U48" s="8"/>
      <c r="V48" s="8"/>
      <c r="W48" s="8"/>
      <c r="X48" t="s" s="7">
        <v>246</v>
      </c>
      <c r="Y48" s="8"/>
      <c r="Z48" s="8"/>
      <c r="AA48" s="8"/>
      <c r="AB48" s="8"/>
      <c r="AC48" s="9">
        <v>1</v>
      </c>
      <c r="AD48" s="8"/>
      <c r="AE48" s="8"/>
      <c r="AF48" s="8"/>
      <c r="AG48" s="8"/>
      <c r="AH48" s="8"/>
      <c r="AI48" s="8"/>
      <c r="AJ48" s="8"/>
      <c r="AK48" s="8"/>
      <c r="AL48" s="8"/>
      <c r="AM48" s="8"/>
      <c r="AN48" s="8"/>
      <c r="AO48" s="8"/>
      <c r="AP48" s="8"/>
      <c r="AQ48" s="8"/>
      <c r="AR48" s="8"/>
      <c r="AS48" s="8"/>
      <c r="AT48" s="8"/>
      <c r="AU48" s="8"/>
      <c r="AV48" s="8"/>
      <c r="AW48" s="8"/>
      <c r="AX48" s="8"/>
      <c r="AY48" s="8"/>
    </row>
    <row r="49" ht="17.45" customHeight="1">
      <c r="A49" t="s" s="7">
        <v>633</v>
      </c>
      <c r="B49" s="8"/>
      <c r="C49" s="9">
        <v>4</v>
      </c>
      <c r="D49" t="s" s="7">
        <v>531</v>
      </c>
      <c r="E49" t="s" s="7">
        <v>634</v>
      </c>
      <c r="F49" t="s" s="7">
        <v>639</v>
      </c>
      <c r="G49" s="8"/>
      <c r="H49" s="8"/>
      <c r="I49" s="9">
        <v>1</v>
      </c>
      <c r="J49" s="8"/>
      <c r="K49" s="8"/>
      <c r="L49" s="8"/>
      <c r="M49" s="9">
        <v>1</v>
      </c>
      <c r="N49" s="8"/>
      <c r="O49" s="8"/>
      <c r="P49" s="8"/>
      <c r="Q49" s="35">
        <v>9</v>
      </c>
      <c r="R49" s="8"/>
      <c r="S49" s="8"/>
      <c r="T49" s="8"/>
      <c r="U49" s="8"/>
      <c r="V49" s="8"/>
      <c r="W49" s="8"/>
      <c r="X49" s="8"/>
      <c r="Y49" s="8"/>
      <c r="Z49" s="8"/>
      <c r="AA49" s="8"/>
      <c r="AB49" s="8"/>
      <c r="AC49" s="9">
        <v>1</v>
      </c>
      <c r="AD49" s="8"/>
      <c r="AE49" s="8"/>
      <c r="AF49" s="8"/>
      <c r="AG49" s="8"/>
      <c r="AH49" s="8"/>
      <c r="AI49" s="8"/>
      <c r="AJ49" s="8"/>
      <c r="AK49" s="8"/>
      <c r="AL49" s="8"/>
      <c r="AM49" s="8"/>
      <c r="AN49" s="8"/>
      <c r="AO49" s="8"/>
      <c r="AP49" s="8"/>
      <c r="AQ49" s="8"/>
      <c r="AR49" s="8"/>
      <c r="AS49" s="8"/>
      <c r="AT49" s="8"/>
      <c r="AU49" s="8"/>
      <c r="AV49" s="8"/>
      <c r="AW49" s="8"/>
      <c r="AX49" s="8"/>
      <c r="AY49" s="8"/>
    </row>
    <row r="50" ht="17.45" customHeight="1">
      <c r="A50" t="s" s="7">
        <v>633</v>
      </c>
      <c r="B50" s="8"/>
      <c r="C50" s="9">
        <v>4</v>
      </c>
      <c r="D50" t="s" s="7">
        <v>531</v>
      </c>
      <c r="E50" t="s" s="7">
        <v>634</v>
      </c>
      <c r="F50" t="s" s="7">
        <v>640</v>
      </c>
      <c r="G50" s="8"/>
      <c r="H50" s="8"/>
      <c r="I50" s="9">
        <v>1</v>
      </c>
      <c r="J50" s="8"/>
      <c r="K50" s="8"/>
      <c r="L50" s="8"/>
      <c r="M50" s="8"/>
      <c r="N50" s="9">
        <v>1</v>
      </c>
      <c r="O50" s="8"/>
      <c r="P50" s="8"/>
      <c r="Q50" s="35">
        <v>8</v>
      </c>
      <c r="R50" s="8"/>
      <c r="S50" s="8"/>
      <c r="T50" s="8"/>
      <c r="U50" s="8"/>
      <c r="V50" s="8"/>
      <c r="W50" s="8"/>
      <c r="X50" s="8"/>
      <c r="Y50" s="8"/>
      <c r="Z50" s="8"/>
      <c r="AA50" s="8"/>
      <c r="AB50" s="8"/>
      <c r="AC50" s="9">
        <v>1</v>
      </c>
      <c r="AD50" s="8"/>
      <c r="AE50" s="8"/>
      <c r="AF50" s="8"/>
      <c r="AG50" s="8"/>
      <c r="AH50" s="8"/>
      <c r="AI50" s="8"/>
      <c r="AJ50" s="8"/>
      <c r="AK50" s="8"/>
      <c r="AL50" s="8"/>
      <c r="AM50" s="8"/>
      <c r="AN50" s="8"/>
      <c r="AO50" s="8"/>
      <c r="AP50" s="8"/>
      <c r="AQ50" s="8"/>
      <c r="AR50" s="8"/>
      <c r="AS50" s="8"/>
      <c r="AT50" s="8"/>
      <c r="AU50" s="8"/>
      <c r="AV50" s="8"/>
      <c r="AW50" s="8"/>
      <c r="AX50" s="8"/>
      <c r="AY50" s="8"/>
    </row>
    <row r="51" ht="17.45" customHeight="1">
      <c r="A51" t="s" s="7">
        <v>633</v>
      </c>
      <c r="B51" s="8"/>
      <c r="C51" s="9">
        <v>4</v>
      </c>
      <c r="D51" t="s" s="7">
        <v>531</v>
      </c>
      <c r="E51" t="s" s="7">
        <v>634</v>
      </c>
      <c r="F51" t="s" s="7">
        <v>641</v>
      </c>
      <c r="G51" s="8"/>
      <c r="H51" s="8"/>
      <c r="I51" s="8"/>
      <c r="J51" s="9">
        <v>1</v>
      </c>
      <c r="K51" s="8"/>
      <c r="L51" s="8"/>
      <c r="M51" s="8"/>
      <c r="N51" s="9">
        <v>1</v>
      </c>
      <c r="O51" s="8"/>
      <c r="P51" s="8"/>
      <c r="Q51" s="35">
        <v>4</v>
      </c>
      <c r="R51" s="8"/>
      <c r="S51" s="8"/>
      <c r="T51" s="8"/>
      <c r="U51" s="8"/>
      <c r="V51" s="8"/>
      <c r="W51" s="8"/>
      <c r="X51" s="8"/>
      <c r="Y51" s="8"/>
      <c r="Z51" s="8"/>
      <c r="AA51" s="8"/>
      <c r="AB51" s="8"/>
      <c r="AC51" s="9">
        <v>1</v>
      </c>
      <c r="AD51" s="8"/>
      <c r="AE51" s="8"/>
      <c r="AF51" s="8"/>
      <c r="AG51" s="8"/>
      <c r="AH51" s="8"/>
      <c r="AI51" s="8"/>
      <c r="AJ51" s="8"/>
      <c r="AK51" s="8"/>
      <c r="AL51" s="8"/>
      <c r="AM51" s="8"/>
      <c r="AN51" s="8"/>
      <c r="AO51" s="8"/>
      <c r="AP51" s="8"/>
      <c r="AQ51" s="8"/>
      <c r="AR51" s="8"/>
      <c r="AS51" s="8"/>
      <c r="AT51" s="8"/>
      <c r="AU51" s="8"/>
      <c r="AV51" s="8"/>
      <c r="AW51" s="8"/>
      <c r="AX51" s="8"/>
      <c r="AY51" s="8"/>
    </row>
    <row r="52" ht="17" customHeight="1">
      <c r="A52" t="s" s="7">
        <v>633</v>
      </c>
      <c r="B52" s="8"/>
      <c r="C52" s="9">
        <v>4</v>
      </c>
      <c r="D52" t="s" s="7">
        <v>531</v>
      </c>
      <c r="E52" t="s" s="7">
        <v>634</v>
      </c>
      <c r="F52" t="s" s="7">
        <v>642</v>
      </c>
      <c r="G52" s="8"/>
      <c r="H52" s="8"/>
      <c r="I52" s="8"/>
      <c r="J52" s="9">
        <v>1</v>
      </c>
      <c r="K52" s="8"/>
      <c r="L52" s="8"/>
      <c r="M52" s="8"/>
      <c r="N52" s="9">
        <v>1</v>
      </c>
      <c r="O52" s="8"/>
      <c r="P52" s="8"/>
      <c r="Q52" t="s" s="7">
        <v>643</v>
      </c>
      <c r="R52" s="8"/>
      <c r="S52" s="8"/>
      <c r="T52" s="8"/>
      <c r="U52" s="8"/>
      <c r="V52" s="8"/>
      <c r="W52" s="8"/>
      <c r="X52" s="8"/>
      <c r="Y52" s="8"/>
      <c r="Z52" s="8"/>
      <c r="AA52" s="8"/>
      <c r="AB52" s="8"/>
      <c r="AC52" s="9">
        <v>1</v>
      </c>
      <c r="AD52" s="8"/>
      <c r="AE52" s="8"/>
      <c r="AF52" s="8"/>
      <c r="AG52" s="8"/>
      <c r="AH52" s="8"/>
      <c r="AI52" s="8"/>
      <c r="AJ52" s="8"/>
      <c r="AK52" s="8"/>
      <c r="AL52" s="8"/>
      <c r="AM52" s="8"/>
      <c r="AN52" s="8"/>
      <c r="AO52" s="8"/>
      <c r="AP52" s="8"/>
      <c r="AQ52" s="8"/>
      <c r="AR52" s="8"/>
      <c r="AS52" s="8"/>
      <c r="AT52" s="8"/>
      <c r="AU52" s="8"/>
      <c r="AV52" s="8"/>
      <c r="AW52" s="8"/>
      <c r="AX52" s="8"/>
      <c r="AY52" s="8"/>
    </row>
    <row r="53" ht="17.45" customHeight="1">
      <c r="A53" t="s" s="7">
        <v>633</v>
      </c>
      <c r="B53" s="8"/>
      <c r="C53" s="9">
        <v>4</v>
      </c>
      <c r="D53" t="s" s="7">
        <v>531</v>
      </c>
      <c r="E53" t="s" s="7">
        <v>644</v>
      </c>
      <c r="F53" t="s" s="7">
        <v>645</v>
      </c>
      <c r="G53" s="9">
        <v>1</v>
      </c>
      <c r="H53" s="8"/>
      <c r="I53" s="8"/>
      <c r="J53" s="8"/>
      <c r="K53" s="8"/>
      <c r="L53" s="8"/>
      <c r="M53" s="8"/>
      <c r="N53" s="8"/>
      <c r="O53" s="8"/>
      <c r="P53" s="9">
        <v>1</v>
      </c>
      <c r="Q53" s="35">
        <v>21</v>
      </c>
      <c r="R53" s="8"/>
      <c r="S53" s="9">
        <v>1</v>
      </c>
      <c r="T53" s="8"/>
      <c r="U53" s="8"/>
      <c r="V53" s="8"/>
      <c r="W53" s="8"/>
      <c r="X53" t="s" s="7">
        <v>138</v>
      </c>
      <c r="Y53" s="8"/>
      <c r="Z53" s="9">
        <v>1</v>
      </c>
      <c r="AA53" s="8"/>
      <c r="AB53" s="8"/>
      <c r="AC53" s="8"/>
      <c r="AD53" t="s" s="7">
        <v>435</v>
      </c>
      <c r="AE53" s="8"/>
      <c r="AF53" s="8"/>
      <c r="AG53" s="8"/>
      <c r="AH53" s="8"/>
      <c r="AI53" s="8"/>
      <c r="AJ53" s="8"/>
      <c r="AK53" s="8"/>
      <c r="AL53" s="8"/>
      <c r="AM53" s="8"/>
      <c r="AN53" s="8"/>
      <c r="AO53" s="8"/>
      <c r="AP53" s="8"/>
      <c r="AQ53" s="8"/>
      <c r="AR53" s="8"/>
      <c r="AS53" s="8"/>
      <c r="AT53" s="8"/>
      <c r="AU53" s="8"/>
      <c r="AV53" s="8"/>
      <c r="AW53" s="8"/>
      <c r="AX53" s="8"/>
      <c r="AY53" s="8"/>
    </row>
    <row r="54" ht="17" customHeight="1">
      <c r="A54" t="s" s="7">
        <v>285</v>
      </c>
      <c r="B54" s="8"/>
      <c r="C54" s="8"/>
      <c r="D54" s="9">
        <v>11</v>
      </c>
      <c r="E54" s="9">
        <v>25</v>
      </c>
      <c r="F54" s="9">
        <f>SUM(G54:J54)</f>
        <v>51</v>
      </c>
      <c r="G54" s="9">
        <f>SUM(G3:G53)</f>
        <v>30</v>
      </c>
      <c r="H54" s="9">
        <f>SUM(H3:H53)</f>
        <v>12</v>
      </c>
      <c r="I54" s="9">
        <f>SUM(I3:I53)</f>
        <v>5</v>
      </c>
      <c r="J54" s="9">
        <f>SUM(J3:J53)</f>
        <v>4</v>
      </c>
      <c r="K54" s="9">
        <f>SUM(K3:K53)</f>
        <v>11</v>
      </c>
      <c r="L54" s="9">
        <f>SUM(L3:L53)</f>
        <v>8</v>
      </c>
      <c r="M54" s="9">
        <f>SUM(M3:M53)</f>
        <v>8</v>
      </c>
      <c r="N54" s="9">
        <f>SUM(N3:N53)</f>
        <v>9</v>
      </c>
      <c r="O54" s="9">
        <v>1</v>
      </c>
      <c r="P54" s="9">
        <f>SUM(P3:P53)</f>
        <v>14</v>
      </c>
      <c r="Q54" s="9">
        <f>SUM(Q3:Q53)</f>
        <v>1464</v>
      </c>
      <c r="R54" s="9">
        <f>SUM(R3:R53)</f>
        <v>16</v>
      </c>
      <c r="S54" s="9">
        <f>SUM(S3:S53)</f>
        <v>23</v>
      </c>
      <c r="T54" s="9">
        <f>SUM(T3:T53)</f>
        <v>2</v>
      </c>
      <c r="U54" s="9">
        <f>SUM(U3:U53)</f>
        <v>106</v>
      </c>
      <c r="V54" s="9">
        <f>SUM(V3:V53)</f>
        <v>26</v>
      </c>
      <c r="W54" s="9">
        <f>SUM(W3:W53)</f>
        <v>22</v>
      </c>
      <c r="X54" s="9">
        <f>SUM(X3:X53)</f>
        <v>0</v>
      </c>
      <c r="Y54" s="9">
        <f>SUM(Y3:Y53)</f>
        <v>0</v>
      </c>
      <c r="Z54" s="9">
        <f>SUM(Z3:Z53)</f>
        <v>27</v>
      </c>
      <c r="AA54" s="9">
        <f>SUM(AA3:AA53)</f>
        <v>7</v>
      </c>
      <c r="AB54" s="9">
        <f>SUM(AB3:AB53)</f>
        <v>13</v>
      </c>
      <c r="AC54" s="9">
        <f>SUM(AC3:AC53)</f>
        <v>27</v>
      </c>
      <c r="AD54" s="9">
        <f>F54-AC54</f>
        <v>24</v>
      </c>
      <c r="AE54" s="8"/>
      <c r="AF54" s="8"/>
      <c r="AG54" s="8"/>
      <c r="AH54" s="8"/>
      <c r="AI54" s="8"/>
      <c r="AJ54" s="8"/>
      <c r="AK54" s="8"/>
      <c r="AL54" s="8"/>
      <c r="AM54" s="8"/>
      <c r="AN54" s="8"/>
      <c r="AO54" s="8"/>
      <c r="AP54" s="8"/>
      <c r="AQ54" s="8"/>
      <c r="AR54" s="8"/>
      <c r="AS54" s="8"/>
      <c r="AT54" s="8"/>
      <c r="AU54" s="8"/>
      <c r="AV54" s="8"/>
      <c r="AW54" s="8"/>
      <c r="AX54" s="8"/>
      <c r="AY54"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AS130"/>
  <sheetViews>
    <sheetView workbookViewId="0" showGridLines="0" defaultGridColor="1"/>
  </sheetViews>
  <sheetFormatPr defaultColWidth="10.8333" defaultRowHeight="16" customHeight="1" outlineLevelRow="0" outlineLevelCol="0"/>
  <cols>
    <col min="1" max="1" width="9.5" style="152" customWidth="1"/>
    <col min="2" max="2" width="13.1719" style="152" customWidth="1"/>
    <col min="3" max="3" width="6" style="152" customWidth="1"/>
    <col min="4" max="4" width="14.3516" style="152" customWidth="1"/>
    <col min="5" max="5" width="11.1719" style="152" customWidth="1"/>
    <col min="6" max="6" width="7.67188" style="152" customWidth="1"/>
    <col min="7" max="7" width="17.6719" style="152" customWidth="1"/>
    <col min="8" max="8" width="16.6719" style="152" customWidth="1"/>
    <col min="9" max="9" width="7.35156" style="152" customWidth="1"/>
    <col min="10" max="10" width="5.85156" style="152" customWidth="1"/>
    <col min="11" max="12" width="5.17188" style="152" customWidth="1"/>
    <col min="13" max="13" width="12.5" style="152" customWidth="1"/>
    <col min="14" max="14" width="5.5" style="152" customWidth="1"/>
    <col min="15" max="15" width="8.85156" style="152" customWidth="1"/>
    <col min="16" max="16" width="6" style="152" customWidth="1"/>
    <col min="17" max="17" width="6.85156" style="152" customWidth="1"/>
    <col min="18" max="18" width="7.85156" style="152" customWidth="1"/>
    <col min="19" max="19" width="10.1719" style="152" customWidth="1"/>
    <col min="20" max="20" width="11.1719" style="152" customWidth="1"/>
    <col min="21" max="21" width="9.35156" style="152" customWidth="1"/>
    <col min="22" max="22" width="8.35156" style="152" customWidth="1"/>
    <col min="23" max="23" width="9.85156" style="152" customWidth="1"/>
    <col min="24" max="24" width="8.35156" style="152" customWidth="1"/>
    <col min="25" max="25" width="19.5" style="152" customWidth="1"/>
    <col min="26" max="26" width="14.1719" style="152" customWidth="1"/>
    <col min="27" max="27" width="10.8516" style="152" customWidth="1"/>
    <col min="28" max="28" width="9.85156" style="152" customWidth="1"/>
    <col min="29" max="29" width="8.67188" style="152" customWidth="1"/>
    <col min="30" max="30" width="16.6719" style="152" customWidth="1"/>
    <col min="31" max="31" width="7.85156" style="152" customWidth="1"/>
    <col min="32" max="32" width="16" style="152" customWidth="1"/>
    <col min="33" max="33" width="21.5" style="152" customWidth="1"/>
    <col min="34" max="34" width="14.6719" style="152" customWidth="1"/>
    <col min="35" max="35" width="11" style="152" customWidth="1"/>
    <col min="36" max="36" width="11.1719" style="152" customWidth="1"/>
    <col min="37" max="37" width="7.85156" style="152" customWidth="1"/>
    <col min="38" max="39" width="10.8516" style="152" customWidth="1"/>
    <col min="40" max="40" width="7.35156" style="152" customWidth="1"/>
    <col min="41" max="41" width="10.8516" style="152" customWidth="1"/>
    <col min="42" max="42" width="9.17188" style="152" customWidth="1"/>
    <col min="43" max="43" width="10.8516" style="152" customWidth="1"/>
    <col min="44" max="44" width="12.5" style="152" customWidth="1"/>
    <col min="45" max="45" width="13" style="152" customWidth="1"/>
    <col min="46" max="16384" width="10.8516" style="152" customWidth="1"/>
  </cols>
  <sheetData>
    <row r="1" ht="47" customHeight="1">
      <c r="A1" t="s" s="153">
        <v>6</v>
      </c>
      <c r="B1" t="s" s="153">
        <v>7</v>
      </c>
      <c r="C1" t="s" s="153">
        <v>8</v>
      </c>
      <c r="D1" t="s" s="154">
        <v>9</v>
      </c>
      <c r="E1" t="s" s="154">
        <v>647</v>
      </c>
      <c r="F1" t="s" s="154">
        <v>648</v>
      </c>
      <c r="G1" t="s" s="153">
        <v>10</v>
      </c>
      <c r="H1" t="s" s="154">
        <v>11</v>
      </c>
      <c r="I1" t="s" s="154">
        <v>649</v>
      </c>
      <c r="J1" t="s" s="154">
        <v>650</v>
      </c>
      <c r="K1" t="s" s="154">
        <v>651</v>
      </c>
      <c r="L1" t="s" s="154">
        <v>652</v>
      </c>
      <c r="M1" t="s" s="154">
        <v>653</v>
      </c>
      <c r="N1" t="s" s="154">
        <v>99</v>
      </c>
      <c r="O1" t="s" s="154">
        <v>102</v>
      </c>
      <c r="P1" t="s" s="154">
        <v>654</v>
      </c>
      <c r="Q1" t="s" s="154">
        <v>32</v>
      </c>
      <c r="R1" t="s" s="154">
        <v>33</v>
      </c>
      <c r="S1" t="s" s="154">
        <v>14</v>
      </c>
      <c r="T1" t="s" s="154">
        <v>655</v>
      </c>
      <c r="U1" t="s" s="154">
        <v>656</v>
      </c>
      <c r="V1" t="s" s="154">
        <v>106</v>
      </c>
      <c r="W1" t="s" s="154">
        <v>107</v>
      </c>
      <c r="X1" t="s" s="154">
        <v>657</v>
      </c>
      <c r="Y1" t="s" s="154">
        <v>19</v>
      </c>
      <c r="Z1" t="s" s="154">
        <v>20</v>
      </c>
      <c r="AA1" t="s" s="154">
        <v>108</v>
      </c>
      <c r="AB1" t="s" s="154">
        <v>35</v>
      </c>
      <c r="AC1" t="s" s="154">
        <v>36</v>
      </c>
      <c r="AD1" t="s" s="154">
        <v>658</v>
      </c>
      <c r="AE1" t="s" s="154">
        <v>659</v>
      </c>
      <c r="AF1" t="s" s="154">
        <v>660</v>
      </c>
      <c r="AG1" t="s" s="153">
        <v>661</v>
      </c>
      <c r="AH1" t="s" s="153">
        <v>109</v>
      </c>
      <c r="AI1" t="s" s="153">
        <v>110</v>
      </c>
      <c r="AJ1" t="s" s="154">
        <v>111</v>
      </c>
      <c r="AK1" t="s" s="154">
        <v>112</v>
      </c>
      <c r="AL1" t="s" s="154">
        <v>113</v>
      </c>
      <c r="AM1" t="s" s="154">
        <v>114</v>
      </c>
      <c r="AN1" t="s" s="154">
        <v>115</v>
      </c>
      <c r="AO1" t="s" s="154">
        <v>116</v>
      </c>
      <c r="AP1" t="s" s="154">
        <v>35</v>
      </c>
      <c r="AQ1" t="s" s="154">
        <v>36</v>
      </c>
      <c r="AR1" t="s" s="154">
        <v>117</v>
      </c>
      <c r="AS1" t="s" s="154">
        <v>118</v>
      </c>
    </row>
    <row r="2" ht="47" customHeight="1">
      <c r="A2" t="s" s="155">
        <v>119</v>
      </c>
      <c r="B2" t="s" s="156">
        <v>120</v>
      </c>
      <c r="C2" s="157"/>
      <c r="D2" s="158"/>
      <c r="E2" t="s" s="159">
        <v>662</v>
      </c>
      <c r="F2" s="158"/>
      <c r="G2" s="157"/>
      <c r="H2" s="158"/>
      <c r="I2" s="158"/>
      <c r="J2" s="158"/>
      <c r="K2" s="158"/>
      <c r="L2" s="158"/>
      <c r="M2" t="s" s="160">
        <v>663</v>
      </c>
      <c r="N2" s="158"/>
      <c r="O2" s="158"/>
      <c r="P2" s="158"/>
      <c r="Q2" s="158"/>
      <c r="R2" s="158"/>
      <c r="S2" t="s" s="161">
        <v>121</v>
      </c>
      <c r="T2" s="158"/>
      <c r="U2" t="s" s="162">
        <v>122</v>
      </c>
      <c r="V2" t="s" s="163">
        <v>123</v>
      </c>
      <c r="W2" t="s" s="164">
        <v>664</v>
      </c>
      <c r="X2" s="158"/>
      <c r="Y2" s="158"/>
      <c r="Z2" s="158"/>
      <c r="AA2" s="158"/>
      <c r="AB2" s="158"/>
      <c r="AC2" s="158"/>
      <c r="AD2" s="158"/>
      <c r="AE2" s="157"/>
      <c r="AF2" s="165"/>
      <c r="AG2" s="166"/>
      <c r="AH2" s="157"/>
      <c r="AI2" s="157"/>
      <c r="AJ2" s="157"/>
      <c r="AK2" s="157"/>
      <c r="AL2" s="157"/>
      <c r="AM2" s="157"/>
      <c r="AN2" s="157"/>
      <c r="AO2" s="157"/>
      <c r="AP2" s="157"/>
      <c r="AQ2" s="157"/>
      <c r="AR2" s="157"/>
      <c r="AS2" s="157"/>
    </row>
    <row r="3" ht="19" customHeight="1">
      <c r="A3" t="s" s="167">
        <v>665</v>
      </c>
      <c r="B3" t="s" s="168">
        <v>666</v>
      </c>
      <c r="C3" s="169">
        <v>33</v>
      </c>
      <c r="D3" t="s" s="168">
        <v>667</v>
      </c>
      <c r="E3" s="170"/>
      <c r="F3" s="169">
        <v>426</v>
      </c>
      <c r="G3" t="s" s="168">
        <v>668</v>
      </c>
      <c r="H3" t="s" s="171">
        <v>669</v>
      </c>
      <c r="I3" s="172"/>
      <c r="J3" s="173">
        <v>1</v>
      </c>
      <c r="K3" s="172"/>
      <c r="L3" s="172"/>
      <c r="M3" s="173">
        <v>1</v>
      </c>
      <c r="N3" s="172"/>
      <c r="O3" s="172"/>
      <c r="P3" s="172"/>
      <c r="Q3" s="172"/>
      <c r="R3" s="172"/>
      <c r="S3" s="173">
        <v>73</v>
      </c>
      <c r="T3" s="173">
        <v>1838</v>
      </c>
      <c r="U3" s="172"/>
      <c r="V3" s="172"/>
      <c r="W3" s="173">
        <v>1</v>
      </c>
      <c r="X3" s="172"/>
      <c r="Y3" t="s" s="171">
        <v>337</v>
      </c>
      <c r="Z3" t="s" s="171">
        <v>670</v>
      </c>
      <c r="AA3" s="173">
        <v>1</v>
      </c>
      <c r="AB3" s="173">
        <v>1</v>
      </c>
      <c r="AC3" s="172"/>
      <c r="AD3" s="169">
        <v>1</v>
      </c>
      <c r="AE3" s="172"/>
      <c r="AF3" t="s" s="171">
        <v>37</v>
      </c>
      <c r="AG3" t="s" s="167">
        <v>671</v>
      </c>
      <c r="AH3" s="170"/>
      <c r="AI3" s="174"/>
      <c r="AJ3" s="175"/>
      <c r="AK3" s="175"/>
      <c r="AL3" s="175"/>
      <c r="AM3" s="175"/>
      <c r="AN3" s="175"/>
      <c r="AO3" s="175"/>
      <c r="AP3" s="175"/>
      <c r="AQ3" s="175"/>
      <c r="AR3" s="175"/>
      <c r="AS3" s="175"/>
    </row>
    <row r="4" ht="19" customHeight="1">
      <c r="A4" t="s" s="167">
        <v>665</v>
      </c>
      <c r="B4" t="s" s="167">
        <v>666</v>
      </c>
      <c r="C4" s="108">
        <v>33</v>
      </c>
      <c r="D4" t="s" s="167">
        <v>667</v>
      </c>
      <c r="E4" s="105"/>
      <c r="F4" s="108">
        <v>426</v>
      </c>
      <c r="G4" t="s" s="167">
        <v>668</v>
      </c>
      <c r="H4" t="s" s="176">
        <v>672</v>
      </c>
      <c r="I4" s="97">
        <v>1</v>
      </c>
      <c r="J4" s="98"/>
      <c r="K4" s="98"/>
      <c r="L4" s="98"/>
      <c r="M4" s="98"/>
      <c r="N4" s="98"/>
      <c r="O4" s="97">
        <v>1</v>
      </c>
      <c r="P4" s="98"/>
      <c r="Q4" s="98"/>
      <c r="R4" s="98"/>
      <c r="S4" s="97">
        <v>33</v>
      </c>
      <c r="T4" s="97">
        <v>1878</v>
      </c>
      <c r="U4" s="98"/>
      <c r="V4" s="177">
        <v>1</v>
      </c>
      <c r="W4" s="98"/>
      <c r="X4" s="98"/>
      <c r="Y4" s="98"/>
      <c r="Z4" s="98"/>
      <c r="AA4" s="98"/>
      <c r="AB4" s="98"/>
      <c r="AC4" s="98"/>
      <c r="AD4" s="108">
        <v>1</v>
      </c>
      <c r="AE4" s="98"/>
      <c r="AF4" t="s" s="176">
        <v>37</v>
      </c>
      <c r="AG4" t="s" s="167">
        <v>671</v>
      </c>
      <c r="AH4" s="178"/>
      <c r="AI4" s="179"/>
      <c r="AJ4" s="180"/>
      <c r="AK4" s="180"/>
      <c r="AL4" s="180"/>
      <c r="AM4" s="180"/>
      <c r="AN4" s="180"/>
      <c r="AO4" s="180"/>
      <c r="AP4" s="180"/>
      <c r="AQ4" s="180"/>
      <c r="AR4" s="180"/>
      <c r="AS4" s="180"/>
    </row>
    <row r="5" ht="19" customHeight="1">
      <c r="A5" t="s" s="167">
        <v>665</v>
      </c>
      <c r="B5" t="s" s="167">
        <v>666</v>
      </c>
      <c r="C5" s="108">
        <v>33</v>
      </c>
      <c r="D5" t="s" s="167">
        <v>667</v>
      </c>
      <c r="E5" s="105"/>
      <c r="F5" s="108">
        <v>426</v>
      </c>
      <c r="G5" t="s" s="167">
        <v>673</v>
      </c>
      <c r="H5" t="s" s="176">
        <v>674</v>
      </c>
      <c r="I5" s="97">
        <v>1</v>
      </c>
      <c r="J5" s="98"/>
      <c r="K5" s="98"/>
      <c r="L5" s="98"/>
      <c r="M5" s="98"/>
      <c r="N5" s="98"/>
      <c r="O5" s="98"/>
      <c r="P5" s="98"/>
      <c r="Q5" s="98"/>
      <c r="R5" s="97">
        <v>1</v>
      </c>
      <c r="S5" s="97">
        <v>30</v>
      </c>
      <c r="T5" s="97">
        <v>1881</v>
      </c>
      <c r="U5" s="98"/>
      <c r="V5" s="177">
        <v>1</v>
      </c>
      <c r="W5" s="98"/>
      <c r="X5" s="98"/>
      <c r="Y5" t="s" s="176">
        <v>675</v>
      </c>
      <c r="Z5" t="s" s="176">
        <v>178</v>
      </c>
      <c r="AA5" s="97">
        <v>1</v>
      </c>
      <c r="AB5" s="98"/>
      <c r="AC5" s="97">
        <v>1</v>
      </c>
      <c r="AD5" s="105"/>
      <c r="AE5" s="97">
        <v>1</v>
      </c>
      <c r="AF5" t="s" s="176">
        <v>225</v>
      </c>
      <c r="AG5" t="s" s="176">
        <v>676</v>
      </c>
      <c r="AH5" s="181"/>
      <c r="AI5" s="115"/>
      <c r="AJ5" s="17"/>
      <c r="AK5" s="17"/>
      <c r="AL5" s="17"/>
      <c r="AM5" s="17"/>
      <c r="AN5" s="17"/>
      <c r="AO5" s="17"/>
      <c r="AP5" s="17"/>
      <c r="AQ5" s="17"/>
      <c r="AR5" s="17"/>
      <c r="AS5" s="17"/>
    </row>
    <row r="6" ht="19" customHeight="1">
      <c r="A6" t="s" s="167">
        <v>665</v>
      </c>
      <c r="B6" t="s" s="167">
        <v>666</v>
      </c>
      <c r="C6" s="108">
        <v>33</v>
      </c>
      <c r="D6" t="s" s="167">
        <v>667</v>
      </c>
      <c r="E6" s="105"/>
      <c r="F6" s="108">
        <v>426</v>
      </c>
      <c r="G6" t="s" s="167">
        <v>677</v>
      </c>
      <c r="H6" t="s" s="176">
        <v>326</v>
      </c>
      <c r="I6" s="97">
        <v>1</v>
      </c>
      <c r="J6" s="98"/>
      <c r="K6" s="98"/>
      <c r="L6" s="98"/>
      <c r="M6" s="98"/>
      <c r="N6" s="98"/>
      <c r="O6" s="98"/>
      <c r="P6" s="98"/>
      <c r="Q6" s="98"/>
      <c r="R6" s="97">
        <v>1</v>
      </c>
      <c r="S6" s="97">
        <v>32</v>
      </c>
      <c r="T6" s="97">
        <v>1879</v>
      </c>
      <c r="U6" s="98"/>
      <c r="V6" s="177">
        <v>1</v>
      </c>
      <c r="W6" s="98"/>
      <c r="X6" s="98"/>
      <c r="Y6" t="s" s="176">
        <v>162</v>
      </c>
      <c r="Z6" t="s" s="176">
        <v>178</v>
      </c>
      <c r="AA6" s="97">
        <v>1</v>
      </c>
      <c r="AB6" s="98"/>
      <c r="AC6" s="97">
        <v>1</v>
      </c>
      <c r="AD6" s="105"/>
      <c r="AE6" s="97">
        <v>1</v>
      </c>
      <c r="AF6" t="s" s="176">
        <v>71</v>
      </c>
      <c r="AG6" t="s" s="176">
        <v>678</v>
      </c>
      <c r="AH6" s="181"/>
      <c r="AI6" s="115"/>
      <c r="AJ6" s="17"/>
      <c r="AK6" s="17"/>
      <c r="AL6" s="17"/>
      <c r="AM6" s="17"/>
      <c r="AN6" s="17"/>
      <c r="AO6" s="17"/>
      <c r="AP6" s="17"/>
      <c r="AQ6" s="17"/>
      <c r="AR6" s="17"/>
      <c r="AS6" s="17"/>
    </row>
    <row r="7" ht="19" customHeight="1">
      <c r="A7" t="s" s="153">
        <v>665</v>
      </c>
      <c r="B7" t="s" s="153">
        <v>666</v>
      </c>
      <c r="C7" s="182">
        <v>33</v>
      </c>
      <c r="D7" t="s" s="153">
        <v>667</v>
      </c>
      <c r="E7" s="183"/>
      <c r="F7" s="182">
        <v>426</v>
      </c>
      <c r="G7" t="s" s="153">
        <v>679</v>
      </c>
      <c r="H7" t="s" s="154">
        <v>680</v>
      </c>
      <c r="I7" s="184">
        <v>1</v>
      </c>
      <c r="J7" s="185"/>
      <c r="K7" s="185"/>
      <c r="L7" s="185"/>
      <c r="M7" s="185"/>
      <c r="N7" s="185"/>
      <c r="O7" s="185"/>
      <c r="P7" s="185"/>
      <c r="Q7" s="185"/>
      <c r="R7" s="184">
        <v>1</v>
      </c>
      <c r="S7" s="184">
        <v>37</v>
      </c>
      <c r="T7" s="184">
        <v>1874</v>
      </c>
      <c r="U7" s="185"/>
      <c r="V7" s="186">
        <v>1</v>
      </c>
      <c r="W7" s="185"/>
      <c r="X7" s="185"/>
      <c r="Y7" t="s" s="154">
        <v>159</v>
      </c>
      <c r="Z7" t="s" s="154">
        <v>178</v>
      </c>
      <c r="AA7" s="184">
        <v>1</v>
      </c>
      <c r="AB7" s="185"/>
      <c r="AC7" s="184">
        <v>1</v>
      </c>
      <c r="AD7" s="183"/>
      <c r="AE7" s="184">
        <v>1</v>
      </c>
      <c r="AF7" t="s" s="154">
        <v>71</v>
      </c>
      <c r="AG7" t="s" s="154">
        <v>681</v>
      </c>
      <c r="AH7" s="187"/>
      <c r="AI7" s="188"/>
      <c r="AJ7" s="189"/>
      <c r="AK7" s="189"/>
      <c r="AL7" s="189"/>
      <c r="AM7" s="189"/>
      <c r="AN7" s="189"/>
      <c r="AO7" s="189"/>
      <c r="AP7" s="189"/>
      <c r="AQ7" s="189"/>
      <c r="AR7" s="189"/>
      <c r="AS7" s="189"/>
    </row>
    <row r="8" ht="18" customHeight="1">
      <c r="A8" t="s" s="168">
        <v>682</v>
      </c>
      <c r="B8" t="s" s="168">
        <v>683</v>
      </c>
      <c r="C8" s="169">
        <v>31</v>
      </c>
      <c r="D8" t="s" s="168">
        <v>667</v>
      </c>
      <c r="E8" s="170"/>
      <c r="F8" s="169">
        <v>424</v>
      </c>
      <c r="G8" t="s" s="190">
        <v>684</v>
      </c>
      <c r="H8" t="s" s="168">
        <v>51</v>
      </c>
      <c r="I8" s="173">
        <v>1</v>
      </c>
      <c r="J8" s="172"/>
      <c r="K8" s="172"/>
      <c r="L8" s="172"/>
      <c r="M8" s="191">
        <v>1</v>
      </c>
      <c r="N8" s="172"/>
      <c r="O8" s="172"/>
      <c r="P8" s="172"/>
      <c r="Q8" s="172"/>
      <c r="R8" s="172"/>
      <c r="S8" s="173">
        <v>50</v>
      </c>
      <c r="T8" s="173">
        <v>1861</v>
      </c>
      <c r="U8" s="172"/>
      <c r="V8" s="172"/>
      <c r="W8" s="192">
        <v>1</v>
      </c>
      <c r="X8" s="172"/>
      <c r="Y8" t="s" s="171">
        <v>171</v>
      </c>
      <c r="Z8" s="172"/>
      <c r="AA8" s="172"/>
      <c r="AB8" s="172"/>
      <c r="AC8" s="172"/>
      <c r="AD8" s="170"/>
      <c r="AE8" s="173">
        <v>1</v>
      </c>
      <c r="AF8" t="s" s="171">
        <v>377</v>
      </c>
      <c r="AG8" t="s" s="171">
        <v>685</v>
      </c>
      <c r="AH8" s="193"/>
      <c r="AI8" s="194"/>
      <c r="AJ8" s="195"/>
      <c r="AK8" s="195"/>
      <c r="AL8" s="195"/>
      <c r="AM8" s="195"/>
      <c r="AN8" s="195"/>
      <c r="AO8" s="195"/>
      <c r="AP8" s="195"/>
      <c r="AQ8" s="195"/>
      <c r="AR8" s="195"/>
      <c r="AS8" s="195"/>
    </row>
    <row r="9" ht="19" customHeight="1">
      <c r="A9" t="s" s="167">
        <v>682</v>
      </c>
      <c r="B9" t="s" s="167">
        <v>683</v>
      </c>
      <c r="C9" s="108">
        <v>31</v>
      </c>
      <c r="D9" t="s" s="167">
        <v>667</v>
      </c>
      <c r="E9" s="105"/>
      <c r="F9" s="108">
        <v>424</v>
      </c>
      <c r="G9" t="s" s="196">
        <v>684</v>
      </c>
      <c r="H9" t="s" s="167">
        <v>686</v>
      </c>
      <c r="I9" s="97">
        <v>1</v>
      </c>
      <c r="J9" s="98"/>
      <c r="K9" s="98"/>
      <c r="L9" s="98"/>
      <c r="M9" s="98"/>
      <c r="N9" s="98"/>
      <c r="O9" s="97">
        <v>1</v>
      </c>
      <c r="P9" s="98"/>
      <c r="Q9" s="98"/>
      <c r="R9" s="98"/>
      <c r="S9" s="97">
        <v>24</v>
      </c>
      <c r="T9" s="97">
        <v>1887</v>
      </c>
      <c r="U9" s="98"/>
      <c r="V9" s="177">
        <v>1</v>
      </c>
      <c r="W9" s="98"/>
      <c r="X9" s="98"/>
      <c r="Y9" s="98"/>
      <c r="Z9" s="98"/>
      <c r="AA9" s="98"/>
      <c r="AB9" s="98"/>
      <c r="AC9" s="98"/>
      <c r="AD9" s="108">
        <v>1</v>
      </c>
      <c r="AE9" s="98"/>
      <c r="AF9" t="s" s="176">
        <v>37</v>
      </c>
      <c r="AG9" t="s" s="176">
        <v>687</v>
      </c>
      <c r="AH9" s="181"/>
      <c r="AI9" s="115"/>
      <c r="AJ9" s="17"/>
      <c r="AK9" s="17"/>
      <c r="AL9" s="17"/>
      <c r="AM9" s="17"/>
      <c r="AN9" s="17"/>
      <c r="AO9" s="17"/>
      <c r="AP9" s="17"/>
      <c r="AQ9" s="17"/>
      <c r="AR9" s="17"/>
      <c r="AS9" s="17"/>
    </row>
    <row r="10" ht="19" customHeight="1">
      <c r="A10" t="s" s="167">
        <v>682</v>
      </c>
      <c r="B10" t="s" s="167">
        <v>683</v>
      </c>
      <c r="C10" s="108">
        <v>31</v>
      </c>
      <c r="D10" t="s" s="167">
        <v>667</v>
      </c>
      <c r="E10" s="105"/>
      <c r="F10" s="108">
        <v>424</v>
      </c>
      <c r="G10" t="s" s="196">
        <v>684</v>
      </c>
      <c r="H10" t="s" s="167">
        <v>688</v>
      </c>
      <c r="I10" s="98"/>
      <c r="J10" s="97">
        <v>1</v>
      </c>
      <c r="K10" s="98"/>
      <c r="L10" s="98"/>
      <c r="M10" s="98"/>
      <c r="N10" s="98"/>
      <c r="O10" s="98"/>
      <c r="P10" s="97">
        <v>1</v>
      </c>
      <c r="Q10" s="98"/>
      <c r="R10" s="98"/>
      <c r="S10" s="97">
        <v>22</v>
      </c>
      <c r="T10" s="97">
        <v>1889</v>
      </c>
      <c r="U10" s="98"/>
      <c r="V10" s="97">
        <v>1</v>
      </c>
      <c r="W10" s="98"/>
      <c r="X10" s="98"/>
      <c r="Y10" t="s" s="176">
        <v>689</v>
      </c>
      <c r="Z10" t="s" s="176">
        <v>690</v>
      </c>
      <c r="AA10" s="97">
        <v>1</v>
      </c>
      <c r="AB10" s="98"/>
      <c r="AC10" s="97">
        <v>1</v>
      </c>
      <c r="AD10" s="108">
        <v>1</v>
      </c>
      <c r="AE10" s="98"/>
      <c r="AF10" t="s" s="176">
        <v>37</v>
      </c>
      <c r="AG10" t="s" s="176">
        <v>687</v>
      </c>
      <c r="AH10" s="181"/>
      <c r="AI10" s="115"/>
      <c r="AJ10" s="17"/>
      <c r="AK10" s="17"/>
      <c r="AL10" s="17"/>
      <c r="AM10" s="17"/>
      <c r="AN10" s="17"/>
      <c r="AO10" s="17"/>
      <c r="AP10" s="17"/>
      <c r="AQ10" s="17"/>
      <c r="AR10" s="17"/>
      <c r="AS10" s="17"/>
    </row>
    <row r="11" ht="19" customHeight="1">
      <c r="A11" t="s" s="167">
        <v>682</v>
      </c>
      <c r="B11" t="s" s="167">
        <v>683</v>
      </c>
      <c r="C11" s="108">
        <v>31</v>
      </c>
      <c r="D11" t="s" s="167">
        <v>667</v>
      </c>
      <c r="E11" s="105"/>
      <c r="F11" s="108">
        <v>424</v>
      </c>
      <c r="G11" t="s" s="196">
        <v>684</v>
      </c>
      <c r="H11" t="s" s="167">
        <v>204</v>
      </c>
      <c r="I11" s="97">
        <v>1</v>
      </c>
      <c r="J11" s="98"/>
      <c r="K11" s="98"/>
      <c r="L11" s="98"/>
      <c r="M11" s="98"/>
      <c r="N11" s="98"/>
      <c r="O11" s="98"/>
      <c r="P11" s="98"/>
      <c r="Q11" s="97">
        <v>1</v>
      </c>
      <c r="R11" s="98"/>
      <c r="S11" s="97">
        <v>68</v>
      </c>
      <c r="T11" s="97">
        <v>1843</v>
      </c>
      <c r="U11" s="98"/>
      <c r="V11" s="177">
        <v>1</v>
      </c>
      <c r="W11" s="98"/>
      <c r="X11" s="98"/>
      <c r="Y11" s="98"/>
      <c r="Z11" s="98"/>
      <c r="AA11" s="98"/>
      <c r="AB11" s="98"/>
      <c r="AC11" s="98"/>
      <c r="AD11" s="105"/>
      <c r="AE11" s="97">
        <v>1</v>
      </c>
      <c r="AF11" t="s" s="176">
        <v>460</v>
      </c>
      <c r="AG11" t="s" s="176">
        <v>691</v>
      </c>
      <c r="AH11" s="181"/>
      <c r="AI11" s="115"/>
      <c r="AJ11" s="17"/>
      <c r="AK11" s="17"/>
      <c r="AL11" s="17"/>
      <c r="AM11" s="17"/>
      <c r="AN11" s="17"/>
      <c r="AO11" s="17"/>
      <c r="AP11" s="17"/>
      <c r="AQ11" s="17"/>
      <c r="AR11" s="17"/>
      <c r="AS11" s="17"/>
    </row>
    <row r="12" ht="19" customHeight="1">
      <c r="A12" t="s" s="167">
        <v>682</v>
      </c>
      <c r="B12" t="s" s="167">
        <v>683</v>
      </c>
      <c r="C12" s="108">
        <v>31</v>
      </c>
      <c r="D12" t="s" s="167">
        <v>667</v>
      </c>
      <c r="E12" s="105"/>
      <c r="F12" s="108">
        <v>424</v>
      </c>
      <c r="G12" t="s" s="197">
        <v>692</v>
      </c>
      <c r="H12" t="s" s="198">
        <v>693</v>
      </c>
      <c r="I12" s="97">
        <v>1</v>
      </c>
      <c r="J12" s="98"/>
      <c r="K12" s="98"/>
      <c r="L12" s="98"/>
      <c r="M12" s="98"/>
      <c r="N12" s="98"/>
      <c r="O12" s="98"/>
      <c r="P12" s="98"/>
      <c r="Q12" s="98"/>
      <c r="R12" s="97">
        <v>1</v>
      </c>
      <c r="S12" s="97">
        <v>23</v>
      </c>
      <c r="T12" s="97">
        <v>1888</v>
      </c>
      <c r="U12" s="98"/>
      <c r="V12" s="177">
        <v>1</v>
      </c>
      <c r="W12" s="98"/>
      <c r="X12" s="98"/>
      <c r="Y12" t="s" s="176">
        <v>33</v>
      </c>
      <c r="Z12" t="s" s="176">
        <v>178</v>
      </c>
      <c r="AA12" s="97">
        <v>1</v>
      </c>
      <c r="AB12" s="105"/>
      <c r="AC12" s="97">
        <v>1</v>
      </c>
      <c r="AD12" s="108">
        <v>1</v>
      </c>
      <c r="AE12" s="98"/>
      <c r="AF12" t="s" s="176">
        <v>37</v>
      </c>
      <c r="AG12" t="s" s="176">
        <v>694</v>
      </c>
      <c r="AH12" s="181"/>
      <c r="AI12" s="115"/>
      <c r="AJ12" s="17"/>
      <c r="AK12" s="17"/>
      <c r="AL12" s="17"/>
      <c r="AM12" s="17"/>
      <c r="AN12" s="17"/>
      <c r="AO12" s="17"/>
      <c r="AP12" s="17"/>
      <c r="AQ12" s="17"/>
      <c r="AR12" s="17"/>
      <c r="AS12" s="17"/>
    </row>
    <row r="13" ht="19" customHeight="1">
      <c r="A13" t="s" s="153">
        <v>682</v>
      </c>
      <c r="B13" t="s" s="153">
        <v>683</v>
      </c>
      <c r="C13" s="182">
        <v>31</v>
      </c>
      <c r="D13" t="s" s="153">
        <v>667</v>
      </c>
      <c r="E13" s="183"/>
      <c r="F13" s="182">
        <v>424</v>
      </c>
      <c r="G13" t="s" s="153">
        <v>695</v>
      </c>
      <c r="H13" t="s" s="199">
        <v>696</v>
      </c>
      <c r="I13" s="184">
        <v>1</v>
      </c>
      <c r="J13" s="185"/>
      <c r="K13" s="185"/>
      <c r="L13" s="185"/>
      <c r="M13" s="185"/>
      <c r="N13" s="185"/>
      <c r="O13" s="185"/>
      <c r="P13" s="185"/>
      <c r="Q13" s="185"/>
      <c r="R13" s="184">
        <v>1</v>
      </c>
      <c r="S13" s="184">
        <v>24</v>
      </c>
      <c r="T13" s="184">
        <v>1887</v>
      </c>
      <c r="U13" s="185"/>
      <c r="V13" s="186">
        <v>1</v>
      </c>
      <c r="W13" s="185"/>
      <c r="X13" s="185"/>
      <c r="Y13" t="s" s="154">
        <v>33</v>
      </c>
      <c r="Z13" t="s" s="154">
        <v>178</v>
      </c>
      <c r="AA13" s="184">
        <v>1</v>
      </c>
      <c r="AB13" s="185"/>
      <c r="AC13" s="184">
        <v>1</v>
      </c>
      <c r="AD13" s="183"/>
      <c r="AE13" s="184">
        <v>1</v>
      </c>
      <c r="AF13" t="s" s="154">
        <v>697</v>
      </c>
      <c r="AG13" t="s" s="154">
        <v>698</v>
      </c>
      <c r="AH13" s="187"/>
      <c r="AI13" s="188"/>
      <c r="AJ13" s="189"/>
      <c r="AK13" s="189"/>
      <c r="AL13" s="189"/>
      <c r="AM13" s="189"/>
      <c r="AN13" s="189"/>
      <c r="AO13" s="189"/>
      <c r="AP13" s="189"/>
      <c r="AQ13" s="189"/>
      <c r="AR13" s="189"/>
      <c r="AS13" s="189"/>
    </row>
    <row r="14" ht="19" customHeight="1">
      <c r="A14" t="s" s="168">
        <v>699</v>
      </c>
      <c r="B14" t="s" s="168">
        <v>700</v>
      </c>
      <c r="C14" s="169">
        <v>29</v>
      </c>
      <c r="D14" t="s" s="168">
        <v>667</v>
      </c>
      <c r="E14" s="170"/>
      <c r="F14" s="169">
        <v>421</v>
      </c>
      <c r="G14" t="s" s="168">
        <v>701</v>
      </c>
      <c r="H14" t="s" s="171">
        <v>702</v>
      </c>
      <c r="I14" s="172"/>
      <c r="J14" s="173">
        <v>1</v>
      </c>
      <c r="K14" s="172"/>
      <c r="L14" s="172"/>
      <c r="M14" s="173">
        <v>1</v>
      </c>
      <c r="N14" s="172"/>
      <c r="O14" s="172"/>
      <c r="P14" s="172"/>
      <c r="Q14" s="172"/>
      <c r="R14" s="172"/>
      <c r="S14" s="173">
        <v>64</v>
      </c>
      <c r="T14" s="173">
        <v>1847</v>
      </c>
      <c r="U14" s="173">
        <v>1</v>
      </c>
      <c r="V14" s="172"/>
      <c r="W14" s="172"/>
      <c r="X14" s="172"/>
      <c r="Y14" t="s" s="171">
        <v>703</v>
      </c>
      <c r="Z14" t="s" s="171">
        <v>418</v>
      </c>
      <c r="AA14" s="173">
        <v>1</v>
      </c>
      <c r="AB14" s="173">
        <v>1</v>
      </c>
      <c r="AC14" s="172"/>
      <c r="AD14" s="169">
        <v>1</v>
      </c>
      <c r="AE14" s="172"/>
      <c r="AF14" t="s" s="171">
        <v>37</v>
      </c>
      <c r="AG14" t="s" s="171">
        <v>704</v>
      </c>
      <c r="AH14" s="170"/>
      <c r="AI14" s="174"/>
      <c r="AJ14" s="175"/>
      <c r="AK14" s="175"/>
      <c r="AL14" s="175"/>
      <c r="AM14" s="175"/>
      <c r="AN14" s="175"/>
      <c r="AO14" s="175"/>
      <c r="AP14" s="175"/>
      <c r="AQ14" s="175"/>
      <c r="AR14" s="175"/>
      <c r="AS14" s="175"/>
    </row>
    <row r="15" ht="17" customHeight="1">
      <c r="A15" t="s" s="167">
        <v>699</v>
      </c>
      <c r="B15" t="s" s="167">
        <v>700</v>
      </c>
      <c r="C15" s="108">
        <v>29</v>
      </c>
      <c r="D15" t="s" s="167">
        <v>667</v>
      </c>
      <c r="E15" s="105"/>
      <c r="F15" s="108">
        <v>421</v>
      </c>
      <c r="G15" t="s" s="167">
        <v>701</v>
      </c>
      <c r="H15" t="s" s="167">
        <v>260</v>
      </c>
      <c r="I15" s="108">
        <v>1</v>
      </c>
      <c r="J15" s="105"/>
      <c r="K15" s="105"/>
      <c r="L15" s="105"/>
      <c r="M15" s="105"/>
      <c r="N15" s="108">
        <v>1</v>
      </c>
      <c r="O15" s="98"/>
      <c r="P15" s="98"/>
      <c r="Q15" s="98"/>
      <c r="R15" s="98"/>
      <c r="S15" s="108">
        <v>67</v>
      </c>
      <c r="T15" s="108">
        <v>1844</v>
      </c>
      <c r="U15" s="200">
        <v>1</v>
      </c>
      <c r="V15" s="98"/>
      <c r="W15" s="105"/>
      <c r="X15" s="108">
        <v>42</v>
      </c>
      <c r="Y15" s="105"/>
      <c r="Z15" s="105"/>
      <c r="AA15" s="105"/>
      <c r="AB15" s="105"/>
      <c r="AC15" s="105"/>
      <c r="AD15" s="108">
        <v>1</v>
      </c>
      <c r="AE15" s="105"/>
      <c r="AF15" t="s" s="176">
        <v>37</v>
      </c>
      <c r="AG15" t="s" s="167">
        <v>705</v>
      </c>
      <c r="AH15" s="178"/>
      <c r="AI15" s="179"/>
      <c r="AJ15" s="180"/>
      <c r="AK15" s="180"/>
      <c r="AL15" s="180"/>
      <c r="AM15" s="180"/>
      <c r="AN15" s="180"/>
      <c r="AO15" s="180"/>
      <c r="AP15" s="180"/>
      <c r="AQ15" s="180"/>
      <c r="AR15" s="180"/>
      <c r="AS15" s="180"/>
    </row>
    <row r="16" ht="17" customHeight="1">
      <c r="A16" t="s" s="167">
        <v>699</v>
      </c>
      <c r="B16" t="s" s="167">
        <v>700</v>
      </c>
      <c r="C16" s="108">
        <v>29</v>
      </c>
      <c r="D16" t="s" s="167">
        <v>667</v>
      </c>
      <c r="E16" s="105"/>
      <c r="F16" s="108">
        <v>421</v>
      </c>
      <c r="G16" t="s" s="167">
        <v>701</v>
      </c>
      <c r="H16" t="s" s="167">
        <v>706</v>
      </c>
      <c r="I16" s="105"/>
      <c r="J16" s="108">
        <v>1</v>
      </c>
      <c r="K16" s="105"/>
      <c r="L16" s="105"/>
      <c r="M16" s="105"/>
      <c r="N16" s="105"/>
      <c r="O16" s="98"/>
      <c r="P16" s="97">
        <v>1</v>
      </c>
      <c r="Q16" s="98"/>
      <c r="R16" s="98"/>
      <c r="S16" s="97">
        <v>36</v>
      </c>
      <c r="T16" s="97">
        <v>1875</v>
      </c>
      <c r="U16" s="98"/>
      <c r="V16" s="97">
        <v>1</v>
      </c>
      <c r="W16" s="98"/>
      <c r="X16" s="98"/>
      <c r="Y16" t="s" s="167">
        <v>707</v>
      </c>
      <c r="Z16" t="s" s="167">
        <v>418</v>
      </c>
      <c r="AA16" s="108">
        <v>1</v>
      </c>
      <c r="AB16" s="108">
        <v>1</v>
      </c>
      <c r="AC16" s="105"/>
      <c r="AD16" s="108">
        <v>1</v>
      </c>
      <c r="AE16" s="105"/>
      <c r="AF16" t="s" s="176">
        <v>37</v>
      </c>
      <c r="AG16" t="s" s="167">
        <v>671</v>
      </c>
      <c r="AH16" s="181"/>
      <c r="AI16" s="115"/>
      <c r="AJ16" s="17"/>
      <c r="AK16" s="17"/>
      <c r="AL16" s="17"/>
      <c r="AM16" s="17"/>
      <c r="AN16" s="17"/>
      <c r="AO16" s="17"/>
      <c r="AP16" s="17"/>
      <c r="AQ16" s="17"/>
      <c r="AR16" s="17"/>
      <c r="AS16" s="17"/>
    </row>
    <row r="17" ht="17" customHeight="1">
      <c r="A17" t="s" s="167">
        <v>699</v>
      </c>
      <c r="B17" t="s" s="167">
        <v>700</v>
      </c>
      <c r="C17" s="108">
        <v>29</v>
      </c>
      <c r="D17" t="s" s="167">
        <v>667</v>
      </c>
      <c r="E17" s="105"/>
      <c r="F17" s="108">
        <v>421</v>
      </c>
      <c r="G17" t="s" s="167">
        <v>701</v>
      </c>
      <c r="H17" t="s" s="167">
        <v>708</v>
      </c>
      <c r="I17" s="105"/>
      <c r="J17" s="108">
        <v>1</v>
      </c>
      <c r="K17" s="105"/>
      <c r="L17" s="105"/>
      <c r="M17" s="105"/>
      <c r="N17" s="105"/>
      <c r="O17" s="98"/>
      <c r="P17" s="97">
        <v>1</v>
      </c>
      <c r="Q17" s="98"/>
      <c r="R17" s="98"/>
      <c r="S17" s="97">
        <v>33</v>
      </c>
      <c r="T17" s="97">
        <v>1878</v>
      </c>
      <c r="U17" s="98"/>
      <c r="V17" s="97">
        <v>1</v>
      </c>
      <c r="W17" s="98"/>
      <c r="X17" s="98"/>
      <c r="Y17" t="s" s="167">
        <v>703</v>
      </c>
      <c r="Z17" t="s" s="167">
        <v>418</v>
      </c>
      <c r="AA17" s="108">
        <v>1</v>
      </c>
      <c r="AB17" s="105"/>
      <c r="AC17" s="108">
        <v>1</v>
      </c>
      <c r="AD17" s="108">
        <v>1</v>
      </c>
      <c r="AE17" s="105"/>
      <c r="AF17" t="s" s="176">
        <v>37</v>
      </c>
      <c r="AG17" t="s" s="167">
        <v>671</v>
      </c>
      <c r="AH17" s="181"/>
      <c r="AI17" s="115"/>
      <c r="AJ17" s="17"/>
      <c r="AK17" s="17"/>
      <c r="AL17" s="17"/>
      <c r="AM17" s="17"/>
      <c r="AN17" s="17"/>
      <c r="AO17" s="17"/>
      <c r="AP17" s="17"/>
      <c r="AQ17" s="17"/>
      <c r="AR17" s="17"/>
      <c r="AS17" s="17"/>
    </row>
    <row r="18" ht="17" customHeight="1">
      <c r="A18" t="s" s="167">
        <v>699</v>
      </c>
      <c r="B18" t="s" s="167">
        <v>700</v>
      </c>
      <c r="C18" s="108">
        <v>29</v>
      </c>
      <c r="D18" t="s" s="167">
        <v>667</v>
      </c>
      <c r="E18" s="105"/>
      <c r="F18" s="108">
        <v>421</v>
      </c>
      <c r="G18" t="s" s="167">
        <v>701</v>
      </c>
      <c r="H18" t="s" s="167">
        <v>709</v>
      </c>
      <c r="I18" s="108">
        <v>1</v>
      </c>
      <c r="J18" s="105"/>
      <c r="K18" s="105"/>
      <c r="L18" s="105"/>
      <c r="M18" s="105"/>
      <c r="N18" s="105"/>
      <c r="O18" s="97">
        <v>1</v>
      </c>
      <c r="P18" s="98"/>
      <c r="Q18" s="98"/>
      <c r="R18" s="98"/>
      <c r="S18" s="97">
        <v>30</v>
      </c>
      <c r="T18" s="97">
        <v>1881</v>
      </c>
      <c r="U18" s="98"/>
      <c r="V18" s="177">
        <v>1</v>
      </c>
      <c r="W18" s="98"/>
      <c r="X18" s="98"/>
      <c r="Y18" s="105"/>
      <c r="Z18" s="105"/>
      <c r="AA18" s="105"/>
      <c r="AB18" s="105"/>
      <c r="AC18" s="105"/>
      <c r="AD18" s="108">
        <v>1</v>
      </c>
      <c r="AE18" s="105"/>
      <c r="AF18" t="s" s="176">
        <v>37</v>
      </c>
      <c r="AG18" t="s" s="167">
        <v>671</v>
      </c>
      <c r="AH18" s="181"/>
      <c r="AI18" s="115"/>
      <c r="AJ18" s="17"/>
      <c r="AK18" s="17"/>
      <c r="AL18" s="17"/>
      <c r="AM18" s="17"/>
      <c r="AN18" s="17"/>
      <c r="AO18" s="17"/>
      <c r="AP18" s="17"/>
      <c r="AQ18" s="17"/>
      <c r="AR18" s="17"/>
      <c r="AS18" s="17"/>
    </row>
    <row r="19" ht="17" customHeight="1">
      <c r="A19" t="s" s="167">
        <v>699</v>
      </c>
      <c r="B19" t="s" s="167">
        <v>700</v>
      </c>
      <c r="C19" s="108">
        <v>29</v>
      </c>
      <c r="D19" t="s" s="167">
        <v>667</v>
      </c>
      <c r="E19" s="105"/>
      <c r="F19" s="108">
        <v>421</v>
      </c>
      <c r="G19" t="s" s="167">
        <v>701</v>
      </c>
      <c r="H19" t="s" s="167">
        <v>710</v>
      </c>
      <c r="I19" s="108">
        <v>1</v>
      </c>
      <c r="J19" s="105"/>
      <c r="K19" s="105"/>
      <c r="L19" s="105"/>
      <c r="M19" s="105"/>
      <c r="N19" s="105"/>
      <c r="O19" s="97">
        <v>1</v>
      </c>
      <c r="P19" s="98"/>
      <c r="Q19" s="98"/>
      <c r="R19" s="98"/>
      <c r="S19" s="97">
        <v>26</v>
      </c>
      <c r="T19" s="97">
        <v>1885</v>
      </c>
      <c r="U19" s="98"/>
      <c r="V19" s="177">
        <v>1</v>
      </c>
      <c r="W19" s="98"/>
      <c r="X19" s="98"/>
      <c r="Y19" s="105"/>
      <c r="Z19" s="105"/>
      <c r="AA19" s="105"/>
      <c r="AB19" s="105"/>
      <c r="AC19" s="105"/>
      <c r="AD19" s="108">
        <v>1</v>
      </c>
      <c r="AE19" s="105"/>
      <c r="AF19" t="s" s="176">
        <v>37</v>
      </c>
      <c r="AG19" t="s" s="167">
        <v>671</v>
      </c>
      <c r="AH19" s="181"/>
      <c r="AI19" s="115"/>
      <c r="AJ19" s="17"/>
      <c r="AK19" s="17"/>
      <c r="AL19" s="17"/>
      <c r="AM19" s="17"/>
      <c r="AN19" s="17"/>
      <c r="AO19" s="17"/>
      <c r="AP19" s="17"/>
      <c r="AQ19" s="17"/>
      <c r="AR19" s="17"/>
      <c r="AS19" s="17"/>
    </row>
    <row r="20" ht="17" customHeight="1">
      <c r="A20" t="s" s="167">
        <v>699</v>
      </c>
      <c r="B20" t="s" s="167">
        <v>700</v>
      </c>
      <c r="C20" s="108">
        <v>29</v>
      </c>
      <c r="D20" t="s" s="167">
        <v>667</v>
      </c>
      <c r="E20" s="105"/>
      <c r="F20" s="108">
        <v>421</v>
      </c>
      <c r="G20" t="s" s="167">
        <v>632</v>
      </c>
      <c r="H20" t="s" s="167">
        <v>193</v>
      </c>
      <c r="I20" s="108">
        <v>1</v>
      </c>
      <c r="J20" s="105"/>
      <c r="K20" s="105"/>
      <c r="L20" s="105"/>
      <c r="M20" s="105"/>
      <c r="N20" s="105"/>
      <c r="O20" s="98"/>
      <c r="P20" s="98"/>
      <c r="Q20" s="98"/>
      <c r="R20" s="97">
        <v>1</v>
      </c>
      <c r="S20" s="108">
        <v>24</v>
      </c>
      <c r="T20" s="108">
        <v>1887</v>
      </c>
      <c r="U20" s="98"/>
      <c r="V20" s="177">
        <v>1</v>
      </c>
      <c r="W20" s="105"/>
      <c r="X20" s="105"/>
      <c r="Y20" t="s" s="167">
        <v>33</v>
      </c>
      <c r="Z20" t="s" s="167">
        <v>711</v>
      </c>
      <c r="AA20" s="108">
        <v>1</v>
      </c>
      <c r="AB20" s="105"/>
      <c r="AC20" s="108">
        <v>1</v>
      </c>
      <c r="AD20" s="108">
        <v>1</v>
      </c>
      <c r="AE20" s="105"/>
      <c r="AF20" t="s" s="176">
        <v>37</v>
      </c>
      <c r="AG20" t="s" s="167">
        <v>712</v>
      </c>
      <c r="AH20" s="181"/>
      <c r="AI20" s="115"/>
      <c r="AJ20" s="17"/>
      <c r="AK20" s="17"/>
      <c r="AL20" s="17"/>
      <c r="AM20" s="17"/>
      <c r="AN20" s="17"/>
      <c r="AO20" s="17"/>
      <c r="AP20" s="17"/>
      <c r="AQ20" s="17"/>
      <c r="AR20" s="17"/>
      <c r="AS20" s="17"/>
    </row>
    <row r="21" ht="17" customHeight="1">
      <c r="A21" t="s" s="167">
        <v>699</v>
      </c>
      <c r="B21" t="s" s="167">
        <v>700</v>
      </c>
      <c r="C21" s="108">
        <v>29</v>
      </c>
      <c r="D21" t="s" s="167">
        <v>667</v>
      </c>
      <c r="E21" s="105"/>
      <c r="F21" s="108">
        <v>421</v>
      </c>
      <c r="G21" t="s" s="167">
        <v>346</v>
      </c>
      <c r="H21" t="s" s="167">
        <v>713</v>
      </c>
      <c r="I21" s="108">
        <v>1</v>
      </c>
      <c r="J21" s="105"/>
      <c r="K21" s="105"/>
      <c r="L21" s="105"/>
      <c r="M21" s="105"/>
      <c r="N21" s="105"/>
      <c r="O21" s="98"/>
      <c r="P21" s="98"/>
      <c r="Q21" s="98"/>
      <c r="R21" s="97">
        <v>1</v>
      </c>
      <c r="S21" s="97">
        <v>22</v>
      </c>
      <c r="T21" s="97">
        <v>1889</v>
      </c>
      <c r="U21" s="98"/>
      <c r="V21" s="177">
        <v>1</v>
      </c>
      <c r="W21" s="98"/>
      <c r="X21" s="98"/>
      <c r="Y21" t="s" s="167">
        <v>33</v>
      </c>
      <c r="Z21" t="s" s="167">
        <v>711</v>
      </c>
      <c r="AA21" s="108">
        <v>1</v>
      </c>
      <c r="AB21" s="105"/>
      <c r="AC21" s="108">
        <v>1</v>
      </c>
      <c r="AD21" s="105"/>
      <c r="AE21" s="108">
        <v>1</v>
      </c>
      <c r="AF21" t="s" s="167">
        <v>166</v>
      </c>
      <c r="AG21" t="s" s="167">
        <v>714</v>
      </c>
      <c r="AH21" s="181"/>
      <c r="AI21" s="115"/>
      <c r="AJ21" s="17"/>
      <c r="AK21" s="17"/>
      <c r="AL21" s="17"/>
      <c r="AM21" s="17"/>
      <c r="AN21" s="17"/>
      <c r="AO21" s="17"/>
      <c r="AP21" s="17"/>
      <c r="AQ21" s="17"/>
      <c r="AR21" s="17"/>
      <c r="AS21" s="17"/>
    </row>
    <row r="22" ht="17" customHeight="1">
      <c r="A22" t="s" s="153">
        <v>699</v>
      </c>
      <c r="B22" t="s" s="167">
        <v>700</v>
      </c>
      <c r="C22" s="182">
        <v>29</v>
      </c>
      <c r="D22" t="s" s="153">
        <v>667</v>
      </c>
      <c r="E22" s="183"/>
      <c r="F22" s="182">
        <v>421</v>
      </c>
      <c r="G22" t="s" s="153">
        <v>715</v>
      </c>
      <c r="H22" t="s" s="153">
        <v>241</v>
      </c>
      <c r="I22" s="182">
        <v>1</v>
      </c>
      <c r="J22" s="183"/>
      <c r="K22" s="183"/>
      <c r="L22" s="183"/>
      <c r="M22" s="183"/>
      <c r="N22" s="183"/>
      <c r="O22" s="185"/>
      <c r="P22" s="185"/>
      <c r="Q22" s="185"/>
      <c r="R22" s="184">
        <v>1</v>
      </c>
      <c r="S22" s="184">
        <v>22</v>
      </c>
      <c r="T22" s="184">
        <v>1889</v>
      </c>
      <c r="U22" s="185"/>
      <c r="V22" s="186">
        <v>1</v>
      </c>
      <c r="W22" s="185"/>
      <c r="X22" s="185"/>
      <c r="Y22" t="s" s="153">
        <v>33</v>
      </c>
      <c r="Z22" t="s" s="153">
        <v>711</v>
      </c>
      <c r="AA22" s="182">
        <v>1</v>
      </c>
      <c r="AB22" s="183"/>
      <c r="AC22" s="182">
        <v>1</v>
      </c>
      <c r="AD22" s="105"/>
      <c r="AE22" s="182">
        <v>1</v>
      </c>
      <c r="AF22" t="s" s="167">
        <v>166</v>
      </c>
      <c r="AG22" t="s" s="153">
        <v>716</v>
      </c>
      <c r="AH22" s="187"/>
      <c r="AI22" s="188"/>
      <c r="AJ22" s="189"/>
      <c r="AK22" s="189"/>
      <c r="AL22" s="189"/>
      <c r="AM22" s="189"/>
      <c r="AN22" s="189"/>
      <c r="AO22" s="189"/>
      <c r="AP22" s="189"/>
      <c r="AQ22" s="189"/>
      <c r="AR22" s="189"/>
      <c r="AS22" s="189"/>
    </row>
    <row r="23" ht="17" customHeight="1">
      <c r="A23" t="s" s="168">
        <v>717</v>
      </c>
      <c r="B23" s="105"/>
      <c r="C23" s="169">
        <v>27</v>
      </c>
      <c r="D23" t="s" s="168">
        <v>667</v>
      </c>
      <c r="E23" s="170"/>
      <c r="F23" s="169">
        <v>420</v>
      </c>
      <c r="G23" t="s" s="168">
        <v>718</v>
      </c>
      <c r="H23" t="s" s="168">
        <v>550</v>
      </c>
      <c r="I23" s="170"/>
      <c r="J23" s="169">
        <v>1</v>
      </c>
      <c r="K23" s="170"/>
      <c r="L23" s="170"/>
      <c r="M23" s="169">
        <v>1</v>
      </c>
      <c r="N23" s="170"/>
      <c r="O23" s="172"/>
      <c r="P23" s="172"/>
      <c r="Q23" s="172"/>
      <c r="R23" s="172"/>
      <c r="S23" s="173">
        <v>37</v>
      </c>
      <c r="T23" s="173">
        <v>1874</v>
      </c>
      <c r="U23" s="173">
        <v>1</v>
      </c>
      <c r="V23" s="172"/>
      <c r="W23" s="172"/>
      <c r="X23" s="172"/>
      <c r="Y23" t="s" s="168">
        <v>337</v>
      </c>
      <c r="Z23" t="s" s="168">
        <v>670</v>
      </c>
      <c r="AA23" s="169">
        <v>1</v>
      </c>
      <c r="AB23" s="169">
        <v>1</v>
      </c>
      <c r="AC23" s="170"/>
      <c r="AD23" s="108">
        <v>1</v>
      </c>
      <c r="AE23" s="170"/>
      <c r="AF23" t="s" s="176">
        <v>37</v>
      </c>
      <c r="AG23" t="s" s="168">
        <v>719</v>
      </c>
      <c r="AH23" s="193"/>
      <c r="AI23" s="194"/>
      <c r="AJ23" s="195"/>
      <c r="AK23" s="195"/>
      <c r="AL23" s="195"/>
      <c r="AM23" s="195"/>
      <c r="AN23" s="195"/>
      <c r="AO23" s="195"/>
      <c r="AP23" s="195"/>
      <c r="AQ23" s="195"/>
      <c r="AR23" s="195"/>
      <c r="AS23" s="195"/>
    </row>
    <row r="24" ht="17" customHeight="1">
      <c r="A24" t="s" s="167">
        <v>717</v>
      </c>
      <c r="B24" s="105"/>
      <c r="C24" s="108">
        <v>27</v>
      </c>
      <c r="D24" t="s" s="167">
        <v>667</v>
      </c>
      <c r="E24" s="105"/>
      <c r="F24" s="108">
        <v>420</v>
      </c>
      <c r="G24" t="s" s="167">
        <v>718</v>
      </c>
      <c r="H24" t="s" s="167">
        <v>720</v>
      </c>
      <c r="I24" s="108">
        <v>1</v>
      </c>
      <c r="J24" s="105"/>
      <c r="K24" s="105"/>
      <c r="L24" s="105"/>
      <c r="M24" s="105"/>
      <c r="N24" s="108">
        <v>1</v>
      </c>
      <c r="O24" s="98"/>
      <c r="P24" s="98"/>
      <c r="Q24" s="98"/>
      <c r="R24" s="98"/>
      <c r="S24" s="97">
        <v>32</v>
      </c>
      <c r="T24" s="97">
        <v>1879</v>
      </c>
      <c r="U24" s="200">
        <v>1</v>
      </c>
      <c r="V24" s="98"/>
      <c r="W24" s="98"/>
      <c r="X24" s="97">
        <v>8</v>
      </c>
      <c r="Y24" s="105"/>
      <c r="Z24" s="105"/>
      <c r="AA24" s="105"/>
      <c r="AB24" s="105"/>
      <c r="AC24" s="105"/>
      <c r="AD24" s="105"/>
      <c r="AE24" s="108">
        <v>1</v>
      </c>
      <c r="AF24" t="s" s="167">
        <v>721</v>
      </c>
      <c r="AG24" t="s" s="167">
        <v>722</v>
      </c>
      <c r="AH24" s="181"/>
      <c r="AI24" s="115"/>
      <c r="AJ24" s="17"/>
      <c r="AK24" s="17"/>
      <c r="AL24" s="17"/>
      <c r="AM24" s="17"/>
      <c r="AN24" s="17"/>
      <c r="AO24" s="17"/>
      <c r="AP24" s="17"/>
      <c r="AQ24" s="17"/>
      <c r="AR24" s="17"/>
      <c r="AS24" s="17"/>
    </row>
    <row r="25" ht="17" customHeight="1">
      <c r="A25" t="s" s="167">
        <v>717</v>
      </c>
      <c r="B25" s="105"/>
      <c r="C25" s="108">
        <v>27</v>
      </c>
      <c r="D25" t="s" s="167">
        <v>667</v>
      </c>
      <c r="E25" s="105"/>
      <c r="F25" s="108">
        <v>420</v>
      </c>
      <c r="G25" t="s" s="167">
        <v>718</v>
      </c>
      <c r="H25" t="s" s="167">
        <v>723</v>
      </c>
      <c r="I25" s="105"/>
      <c r="J25" s="105"/>
      <c r="K25" s="105"/>
      <c r="L25" s="108">
        <v>1</v>
      </c>
      <c r="M25" s="105"/>
      <c r="N25" s="105"/>
      <c r="O25" s="98"/>
      <c r="P25" s="97">
        <v>1</v>
      </c>
      <c r="Q25" s="98"/>
      <c r="R25" s="98"/>
      <c r="S25" s="201">
        <v>6</v>
      </c>
      <c r="T25" s="97">
        <v>1905</v>
      </c>
      <c r="U25" s="98"/>
      <c r="V25" s="177">
        <v>1</v>
      </c>
      <c r="W25" s="98"/>
      <c r="X25" s="98"/>
      <c r="Y25" s="105"/>
      <c r="Z25" s="105"/>
      <c r="AA25" s="105"/>
      <c r="AB25" s="105"/>
      <c r="AC25" s="105"/>
      <c r="AD25" s="108">
        <v>1</v>
      </c>
      <c r="AE25" s="105"/>
      <c r="AF25" t="s" s="176">
        <v>37</v>
      </c>
      <c r="AG25" t="s" s="167">
        <v>724</v>
      </c>
      <c r="AH25" s="181"/>
      <c r="AI25" s="115"/>
      <c r="AJ25" s="17"/>
      <c r="AK25" s="17"/>
      <c r="AL25" s="17"/>
      <c r="AM25" s="17"/>
      <c r="AN25" s="17"/>
      <c r="AO25" s="17"/>
      <c r="AP25" s="17"/>
      <c r="AQ25" s="17"/>
      <c r="AR25" s="17"/>
      <c r="AS25" s="17"/>
    </row>
    <row r="26" ht="17" customHeight="1">
      <c r="A26" t="s" s="167">
        <v>717</v>
      </c>
      <c r="B26" s="105"/>
      <c r="C26" s="108">
        <v>27</v>
      </c>
      <c r="D26" t="s" s="167">
        <v>667</v>
      </c>
      <c r="E26" s="105"/>
      <c r="F26" s="108">
        <v>420</v>
      </c>
      <c r="G26" t="s" s="167">
        <v>718</v>
      </c>
      <c r="H26" t="s" s="167">
        <v>725</v>
      </c>
      <c r="I26" s="105"/>
      <c r="J26" s="105"/>
      <c r="K26" s="105"/>
      <c r="L26" s="108">
        <v>1</v>
      </c>
      <c r="M26" s="105"/>
      <c r="N26" s="105"/>
      <c r="O26" s="98"/>
      <c r="P26" s="97">
        <v>1</v>
      </c>
      <c r="Q26" s="98"/>
      <c r="R26" s="98"/>
      <c r="S26" s="201">
        <v>1</v>
      </c>
      <c r="T26" s="97">
        <v>1910</v>
      </c>
      <c r="U26" s="98"/>
      <c r="V26" s="177">
        <v>1</v>
      </c>
      <c r="W26" s="98"/>
      <c r="X26" s="98"/>
      <c r="Y26" s="105"/>
      <c r="Z26" s="105"/>
      <c r="AA26" s="105"/>
      <c r="AB26" s="105"/>
      <c r="AC26" s="105"/>
      <c r="AD26" s="108">
        <v>1</v>
      </c>
      <c r="AE26" s="105"/>
      <c r="AF26" t="s" s="176">
        <v>37</v>
      </c>
      <c r="AG26" t="s" s="167">
        <v>671</v>
      </c>
      <c r="AH26" s="181"/>
      <c r="AI26" s="115"/>
      <c r="AJ26" s="17"/>
      <c r="AK26" s="17"/>
      <c r="AL26" s="17"/>
      <c r="AM26" s="17"/>
      <c r="AN26" s="17"/>
      <c r="AO26" s="17"/>
      <c r="AP26" s="17"/>
      <c r="AQ26" s="17"/>
      <c r="AR26" s="17"/>
      <c r="AS26" s="17"/>
    </row>
    <row r="27" ht="17" customHeight="1">
      <c r="A27" t="s" s="167">
        <v>717</v>
      </c>
      <c r="B27" s="105"/>
      <c r="C27" s="108">
        <v>27</v>
      </c>
      <c r="D27" t="s" s="167">
        <v>667</v>
      </c>
      <c r="E27" s="105"/>
      <c r="F27" s="108">
        <v>420</v>
      </c>
      <c r="G27" t="s" s="167">
        <v>726</v>
      </c>
      <c r="H27" t="s" s="167">
        <v>727</v>
      </c>
      <c r="I27" s="108">
        <v>1</v>
      </c>
      <c r="J27" s="105"/>
      <c r="K27" s="105"/>
      <c r="L27" s="105"/>
      <c r="M27" s="105"/>
      <c r="N27" s="105"/>
      <c r="O27" s="98"/>
      <c r="P27" s="98"/>
      <c r="Q27" s="98"/>
      <c r="R27" s="97">
        <v>1</v>
      </c>
      <c r="S27" s="108">
        <v>32</v>
      </c>
      <c r="T27" s="108">
        <v>1879</v>
      </c>
      <c r="U27" s="98"/>
      <c r="V27" s="97">
        <v>1</v>
      </c>
      <c r="W27" s="202"/>
      <c r="X27" s="105"/>
      <c r="Y27" t="s" s="167">
        <v>159</v>
      </c>
      <c r="Z27" t="s" s="167">
        <v>711</v>
      </c>
      <c r="AA27" s="108">
        <v>1</v>
      </c>
      <c r="AB27" s="105"/>
      <c r="AC27" s="108">
        <v>1</v>
      </c>
      <c r="AD27" s="105"/>
      <c r="AE27" s="108">
        <v>1</v>
      </c>
      <c r="AF27" t="s" s="167">
        <v>728</v>
      </c>
      <c r="AG27" t="s" s="167">
        <v>728</v>
      </c>
      <c r="AH27" s="181"/>
      <c r="AI27" s="115"/>
      <c r="AJ27" s="17"/>
      <c r="AK27" s="17"/>
      <c r="AL27" s="17"/>
      <c r="AM27" s="17"/>
      <c r="AN27" s="17"/>
      <c r="AO27" s="17"/>
      <c r="AP27" s="17"/>
      <c r="AQ27" s="17"/>
      <c r="AR27" s="17"/>
      <c r="AS27" s="17"/>
    </row>
    <row r="28" ht="17" customHeight="1">
      <c r="A28" t="s" s="153">
        <v>717</v>
      </c>
      <c r="B28" s="183"/>
      <c r="C28" s="182">
        <v>27</v>
      </c>
      <c r="D28" t="s" s="153">
        <v>667</v>
      </c>
      <c r="E28" s="183"/>
      <c r="F28" s="182">
        <v>420</v>
      </c>
      <c r="G28" t="s" s="153">
        <v>729</v>
      </c>
      <c r="H28" t="s" s="153">
        <v>566</v>
      </c>
      <c r="I28" s="182">
        <v>1</v>
      </c>
      <c r="J28" s="183"/>
      <c r="K28" s="183"/>
      <c r="L28" s="183"/>
      <c r="M28" s="183"/>
      <c r="N28" s="183"/>
      <c r="O28" s="185"/>
      <c r="P28" s="185"/>
      <c r="Q28" s="185"/>
      <c r="R28" s="184">
        <v>1</v>
      </c>
      <c r="S28" s="184">
        <v>22</v>
      </c>
      <c r="T28" s="184">
        <v>1889</v>
      </c>
      <c r="U28" s="185"/>
      <c r="V28" s="184">
        <v>1</v>
      </c>
      <c r="W28" s="185"/>
      <c r="X28" s="185"/>
      <c r="Y28" t="s" s="153">
        <v>162</v>
      </c>
      <c r="Z28" t="s" s="153">
        <v>711</v>
      </c>
      <c r="AA28" s="182">
        <v>1</v>
      </c>
      <c r="AB28" s="183"/>
      <c r="AC28" s="182">
        <v>1</v>
      </c>
      <c r="AD28" s="105"/>
      <c r="AE28" s="182">
        <v>1</v>
      </c>
      <c r="AF28" t="s" s="153">
        <v>730</v>
      </c>
      <c r="AG28" t="s" s="153">
        <v>731</v>
      </c>
      <c r="AH28" s="187"/>
      <c r="AI28" s="188"/>
      <c r="AJ28" s="189"/>
      <c r="AK28" s="189"/>
      <c r="AL28" s="189"/>
      <c r="AM28" s="189"/>
      <c r="AN28" s="189"/>
      <c r="AO28" s="189"/>
      <c r="AP28" s="189"/>
      <c r="AQ28" s="189"/>
      <c r="AR28" s="189"/>
      <c r="AS28" s="189"/>
    </row>
    <row r="29" ht="17.5" customHeight="1">
      <c r="A29" t="s" s="168">
        <v>732</v>
      </c>
      <c r="B29" t="s" s="168">
        <v>733</v>
      </c>
      <c r="C29" s="169">
        <v>25</v>
      </c>
      <c r="D29" t="s" s="168">
        <v>667</v>
      </c>
      <c r="E29" s="170"/>
      <c r="F29" s="169">
        <v>419</v>
      </c>
      <c r="G29" t="s" s="168">
        <v>734</v>
      </c>
      <c r="H29" t="s" s="168">
        <v>550</v>
      </c>
      <c r="I29" s="170"/>
      <c r="J29" s="169">
        <v>1</v>
      </c>
      <c r="K29" s="170"/>
      <c r="L29" s="170"/>
      <c r="M29" s="169">
        <v>1</v>
      </c>
      <c r="N29" s="170"/>
      <c r="O29" s="172"/>
      <c r="P29" s="172"/>
      <c r="Q29" s="172"/>
      <c r="R29" s="172"/>
      <c r="S29" s="173">
        <v>58</v>
      </c>
      <c r="T29" s="173">
        <v>1853</v>
      </c>
      <c r="U29" s="173">
        <v>1</v>
      </c>
      <c r="V29" s="172"/>
      <c r="W29" s="172"/>
      <c r="X29" s="172"/>
      <c r="Y29" t="s" s="168">
        <v>337</v>
      </c>
      <c r="Z29" t="s" s="168">
        <v>670</v>
      </c>
      <c r="AA29" s="169">
        <v>1</v>
      </c>
      <c r="AB29" s="169">
        <v>1</v>
      </c>
      <c r="AC29" s="170"/>
      <c r="AD29" s="105"/>
      <c r="AE29" s="169">
        <v>1</v>
      </c>
      <c r="AF29" t="s" s="168">
        <v>735</v>
      </c>
      <c r="AG29" t="s" s="168">
        <v>736</v>
      </c>
      <c r="AH29" s="193"/>
      <c r="AI29" s="194"/>
      <c r="AJ29" s="195"/>
      <c r="AK29" s="195"/>
      <c r="AL29" s="195"/>
      <c r="AM29" s="195"/>
      <c r="AN29" s="195"/>
      <c r="AO29" s="195"/>
      <c r="AP29" s="195"/>
      <c r="AQ29" s="195"/>
      <c r="AR29" s="195"/>
      <c r="AS29" s="195"/>
    </row>
    <row r="30" ht="17" customHeight="1">
      <c r="A30" t="s" s="167">
        <v>732</v>
      </c>
      <c r="B30" t="s" s="167">
        <v>733</v>
      </c>
      <c r="C30" s="108">
        <v>25</v>
      </c>
      <c r="D30" t="s" s="167">
        <v>667</v>
      </c>
      <c r="E30" s="105"/>
      <c r="F30" s="108">
        <v>419</v>
      </c>
      <c r="G30" t="s" s="167">
        <v>737</v>
      </c>
      <c r="H30" t="s" s="167">
        <v>566</v>
      </c>
      <c r="I30" s="108">
        <v>1</v>
      </c>
      <c r="J30" s="105"/>
      <c r="K30" s="105"/>
      <c r="L30" s="105"/>
      <c r="M30" s="105"/>
      <c r="N30" s="97">
        <v>1</v>
      </c>
      <c r="O30" s="98"/>
      <c r="P30" s="98"/>
      <c r="Q30" s="98"/>
      <c r="R30" s="98"/>
      <c r="S30" s="97">
        <v>52</v>
      </c>
      <c r="T30" s="97">
        <v>1859</v>
      </c>
      <c r="U30" s="200">
        <v>1</v>
      </c>
      <c r="V30" s="98"/>
      <c r="W30" s="203"/>
      <c r="X30" s="97">
        <v>28</v>
      </c>
      <c r="Y30" s="105"/>
      <c r="Z30" s="105"/>
      <c r="AA30" s="105"/>
      <c r="AB30" s="105"/>
      <c r="AC30" s="105"/>
      <c r="AD30" s="105"/>
      <c r="AE30" s="108">
        <v>1</v>
      </c>
      <c r="AF30" t="s" s="167">
        <v>738</v>
      </c>
      <c r="AG30" t="s" s="167">
        <v>739</v>
      </c>
      <c r="AH30" s="181"/>
      <c r="AI30" s="115"/>
      <c r="AJ30" s="17"/>
      <c r="AK30" s="17"/>
      <c r="AL30" s="17"/>
      <c r="AM30" s="17"/>
      <c r="AN30" s="17"/>
      <c r="AO30" s="17"/>
      <c r="AP30" s="17"/>
      <c r="AQ30" s="17"/>
      <c r="AR30" s="17"/>
      <c r="AS30" s="17"/>
    </row>
    <row r="31" ht="17" customHeight="1">
      <c r="A31" t="s" s="167">
        <v>732</v>
      </c>
      <c r="B31" t="s" s="167">
        <v>733</v>
      </c>
      <c r="C31" s="108">
        <v>25</v>
      </c>
      <c r="D31" t="s" s="167">
        <v>667</v>
      </c>
      <c r="E31" s="105"/>
      <c r="F31" s="108">
        <v>419</v>
      </c>
      <c r="G31" t="s" s="167">
        <v>740</v>
      </c>
      <c r="H31" t="s" s="167">
        <v>260</v>
      </c>
      <c r="I31" s="108">
        <v>1</v>
      </c>
      <c r="J31" s="105"/>
      <c r="K31" s="105"/>
      <c r="L31" s="105"/>
      <c r="M31" s="105"/>
      <c r="N31" s="98"/>
      <c r="O31" s="98"/>
      <c r="P31" s="98"/>
      <c r="Q31" s="98"/>
      <c r="R31" s="97">
        <v>1</v>
      </c>
      <c r="S31" s="97">
        <v>28</v>
      </c>
      <c r="T31" s="97">
        <v>1883</v>
      </c>
      <c r="U31" s="98"/>
      <c r="V31" s="177">
        <v>1</v>
      </c>
      <c r="W31" s="98"/>
      <c r="X31" s="98"/>
      <c r="Y31" t="s" s="167">
        <v>159</v>
      </c>
      <c r="Z31" t="s" s="167">
        <v>711</v>
      </c>
      <c r="AA31" s="108">
        <v>1</v>
      </c>
      <c r="AB31" s="105"/>
      <c r="AC31" s="108">
        <v>1</v>
      </c>
      <c r="AD31" s="108">
        <v>1</v>
      </c>
      <c r="AE31" s="105"/>
      <c r="AF31" t="s" s="176">
        <v>37</v>
      </c>
      <c r="AG31" t="s" s="167">
        <v>741</v>
      </c>
      <c r="AH31" s="181"/>
      <c r="AI31" s="115"/>
      <c r="AJ31" s="17"/>
      <c r="AK31" s="17"/>
      <c r="AL31" s="17"/>
      <c r="AM31" s="17"/>
      <c r="AN31" s="17"/>
      <c r="AO31" s="17"/>
      <c r="AP31" s="17"/>
      <c r="AQ31" s="17"/>
      <c r="AR31" s="17"/>
      <c r="AS31" s="17"/>
    </row>
    <row r="32" ht="17" customHeight="1">
      <c r="A32" t="s" s="167">
        <v>732</v>
      </c>
      <c r="B32" t="s" s="167">
        <v>733</v>
      </c>
      <c r="C32" s="108">
        <v>25</v>
      </c>
      <c r="D32" t="s" s="167">
        <v>667</v>
      </c>
      <c r="E32" s="105"/>
      <c r="F32" s="108">
        <v>419</v>
      </c>
      <c r="G32" t="s" s="167">
        <v>742</v>
      </c>
      <c r="H32" t="s" s="167">
        <v>267</v>
      </c>
      <c r="I32" s="108">
        <v>1</v>
      </c>
      <c r="J32" s="105"/>
      <c r="K32" s="105"/>
      <c r="L32" s="105"/>
      <c r="M32" s="105"/>
      <c r="N32" s="105"/>
      <c r="O32" s="98"/>
      <c r="P32" s="98"/>
      <c r="Q32" s="98"/>
      <c r="R32" s="97">
        <v>1</v>
      </c>
      <c r="S32" s="108">
        <v>29</v>
      </c>
      <c r="T32" s="108">
        <v>1882</v>
      </c>
      <c r="U32" s="98"/>
      <c r="V32" s="177">
        <v>1</v>
      </c>
      <c r="W32" s="105"/>
      <c r="X32" s="105"/>
      <c r="Y32" t="s" s="167">
        <v>743</v>
      </c>
      <c r="Z32" t="s" s="167">
        <v>711</v>
      </c>
      <c r="AA32" s="108">
        <v>1</v>
      </c>
      <c r="AB32" s="105"/>
      <c r="AC32" s="108">
        <v>1</v>
      </c>
      <c r="AD32" s="105"/>
      <c r="AE32" s="108">
        <v>1</v>
      </c>
      <c r="AF32" t="s" s="167">
        <v>71</v>
      </c>
      <c r="AG32" t="s" s="167">
        <v>744</v>
      </c>
      <c r="AH32" s="181"/>
      <c r="AI32" s="115"/>
      <c r="AJ32" s="17"/>
      <c r="AK32" s="17"/>
      <c r="AL32" s="17"/>
      <c r="AM32" s="17"/>
      <c r="AN32" s="17"/>
      <c r="AO32" s="17"/>
      <c r="AP32" s="17"/>
      <c r="AQ32" s="17"/>
      <c r="AR32" s="17"/>
      <c r="AS32" s="17"/>
    </row>
    <row r="33" ht="17" customHeight="1">
      <c r="A33" t="s" s="167">
        <v>732</v>
      </c>
      <c r="B33" t="s" s="167">
        <v>733</v>
      </c>
      <c r="C33" s="108">
        <v>25</v>
      </c>
      <c r="D33" t="s" s="167">
        <v>667</v>
      </c>
      <c r="E33" s="105"/>
      <c r="F33" s="108">
        <v>419</v>
      </c>
      <c r="G33" t="s" s="167">
        <v>745</v>
      </c>
      <c r="H33" t="s" s="167">
        <v>746</v>
      </c>
      <c r="I33" s="108">
        <v>1</v>
      </c>
      <c r="J33" s="105"/>
      <c r="K33" s="105"/>
      <c r="L33" s="105"/>
      <c r="M33" s="105"/>
      <c r="N33" s="105"/>
      <c r="O33" s="98"/>
      <c r="P33" s="98"/>
      <c r="Q33" s="98"/>
      <c r="R33" s="97">
        <v>1</v>
      </c>
      <c r="S33" s="97">
        <v>35</v>
      </c>
      <c r="T33" s="97">
        <v>1876</v>
      </c>
      <c r="U33" s="98"/>
      <c r="V33" s="177">
        <v>1</v>
      </c>
      <c r="W33" s="105"/>
      <c r="X33" s="98"/>
      <c r="Y33" t="s" s="167">
        <v>747</v>
      </c>
      <c r="Z33" t="s" s="167">
        <v>711</v>
      </c>
      <c r="AA33" s="108">
        <v>1</v>
      </c>
      <c r="AB33" s="105"/>
      <c r="AC33" s="108">
        <v>1</v>
      </c>
      <c r="AD33" s="108">
        <v>1</v>
      </c>
      <c r="AE33" s="105"/>
      <c r="AF33" t="s" s="176">
        <v>37</v>
      </c>
      <c r="AG33" t="s" s="167">
        <v>671</v>
      </c>
      <c r="AH33" s="181"/>
      <c r="AI33" s="115"/>
      <c r="AJ33" s="17"/>
      <c r="AK33" s="17"/>
      <c r="AL33" s="17"/>
      <c r="AM33" s="17"/>
      <c r="AN33" s="17"/>
      <c r="AO33" s="17"/>
      <c r="AP33" s="17"/>
      <c r="AQ33" s="17"/>
      <c r="AR33" s="17"/>
      <c r="AS33" s="17"/>
    </row>
    <row r="34" ht="17" customHeight="1">
      <c r="A34" t="s" s="153">
        <v>732</v>
      </c>
      <c r="B34" t="s" s="153">
        <v>733</v>
      </c>
      <c r="C34" s="182">
        <v>25</v>
      </c>
      <c r="D34" t="s" s="153">
        <v>667</v>
      </c>
      <c r="E34" s="183"/>
      <c r="F34" s="182">
        <v>419</v>
      </c>
      <c r="G34" t="s" s="153">
        <v>748</v>
      </c>
      <c r="H34" t="s" s="153">
        <v>749</v>
      </c>
      <c r="I34" s="182">
        <v>1</v>
      </c>
      <c r="J34" s="183"/>
      <c r="K34" s="183"/>
      <c r="L34" s="183"/>
      <c r="M34" s="183"/>
      <c r="N34" s="183"/>
      <c r="O34" s="185"/>
      <c r="P34" s="185"/>
      <c r="Q34" s="185"/>
      <c r="R34" s="184">
        <v>1</v>
      </c>
      <c r="S34" s="184">
        <v>19</v>
      </c>
      <c r="T34" s="184">
        <v>1892</v>
      </c>
      <c r="U34" s="185"/>
      <c r="V34" s="186">
        <v>1</v>
      </c>
      <c r="W34" s="183"/>
      <c r="X34" s="185"/>
      <c r="Y34" t="s" s="153">
        <v>750</v>
      </c>
      <c r="Z34" t="s" s="153">
        <v>711</v>
      </c>
      <c r="AA34" s="182">
        <v>1</v>
      </c>
      <c r="AB34" s="183"/>
      <c r="AC34" s="182">
        <v>1</v>
      </c>
      <c r="AD34" s="105"/>
      <c r="AE34" s="182">
        <v>1</v>
      </c>
      <c r="AF34" t="s" s="167">
        <v>225</v>
      </c>
      <c r="AG34" t="s" s="153">
        <v>751</v>
      </c>
      <c r="AH34" s="187"/>
      <c r="AI34" s="188"/>
      <c r="AJ34" s="189"/>
      <c r="AK34" s="189"/>
      <c r="AL34" s="189"/>
      <c r="AM34" s="189"/>
      <c r="AN34" s="189"/>
      <c r="AO34" s="189"/>
      <c r="AP34" s="189"/>
      <c r="AQ34" s="189"/>
      <c r="AR34" s="189"/>
      <c r="AS34" s="189"/>
    </row>
    <row r="35" ht="17" customHeight="1">
      <c r="A35" t="s" s="168">
        <v>752</v>
      </c>
      <c r="B35" s="170"/>
      <c r="C35" s="169">
        <v>14</v>
      </c>
      <c r="D35" t="s" s="168">
        <v>667</v>
      </c>
      <c r="E35" s="204">
        <v>29</v>
      </c>
      <c r="F35" s="169">
        <v>417</v>
      </c>
      <c r="G35" t="s" s="168">
        <v>753</v>
      </c>
      <c r="H35" t="s" s="168">
        <v>754</v>
      </c>
      <c r="I35" s="170"/>
      <c r="J35" s="169">
        <v>1</v>
      </c>
      <c r="K35" s="170"/>
      <c r="L35" s="170"/>
      <c r="M35" s="169">
        <v>1</v>
      </c>
      <c r="N35" s="170"/>
      <c r="O35" s="172"/>
      <c r="P35" s="172"/>
      <c r="Q35" s="172"/>
      <c r="R35" s="172"/>
      <c r="S35" s="173">
        <v>46</v>
      </c>
      <c r="T35" s="173">
        <v>1865</v>
      </c>
      <c r="U35" s="173">
        <v>1</v>
      </c>
      <c r="V35" s="172"/>
      <c r="W35" s="170"/>
      <c r="X35" s="172"/>
      <c r="Y35" t="s" s="168">
        <v>755</v>
      </c>
      <c r="Z35" t="s" s="168">
        <v>711</v>
      </c>
      <c r="AA35" s="169">
        <v>1</v>
      </c>
      <c r="AB35" s="170"/>
      <c r="AC35" s="169">
        <v>1</v>
      </c>
      <c r="AD35" s="108">
        <v>1</v>
      </c>
      <c r="AE35" s="170"/>
      <c r="AF35" t="s" s="176">
        <v>37</v>
      </c>
      <c r="AG35" t="s" s="168">
        <v>671</v>
      </c>
      <c r="AH35" s="193"/>
      <c r="AI35" s="194"/>
      <c r="AJ35" s="195"/>
      <c r="AK35" s="195"/>
      <c r="AL35" s="195"/>
      <c r="AM35" s="195"/>
      <c r="AN35" s="195"/>
      <c r="AO35" s="195"/>
      <c r="AP35" s="195"/>
      <c r="AQ35" s="195"/>
      <c r="AR35" s="195"/>
      <c r="AS35" s="195"/>
    </row>
    <row r="36" ht="17" customHeight="1">
      <c r="A36" t="s" s="167">
        <v>752</v>
      </c>
      <c r="B36" s="105"/>
      <c r="C36" s="108">
        <v>14</v>
      </c>
      <c r="D36" t="s" s="167">
        <v>667</v>
      </c>
      <c r="E36" s="205">
        <v>29</v>
      </c>
      <c r="F36" s="108">
        <v>417</v>
      </c>
      <c r="G36" t="s" s="167">
        <v>753</v>
      </c>
      <c r="H36" t="s" s="167">
        <v>65</v>
      </c>
      <c r="I36" s="108">
        <v>1</v>
      </c>
      <c r="J36" s="105"/>
      <c r="K36" s="105"/>
      <c r="L36" s="105"/>
      <c r="M36" s="105"/>
      <c r="N36" s="108">
        <v>1</v>
      </c>
      <c r="O36" s="98"/>
      <c r="P36" s="98"/>
      <c r="Q36" s="98"/>
      <c r="R36" s="98"/>
      <c r="S36" s="97">
        <v>47</v>
      </c>
      <c r="T36" s="97">
        <v>1864</v>
      </c>
      <c r="U36" s="200">
        <v>1</v>
      </c>
      <c r="V36" s="98"/>
      <c r="W36" s="105"/>
      <c r="X36" s="97">
        <v>26</v>
      </c>
      <c r="Y36" s="105"/>
      <c r="Z36" s="105"/>
      <c r="AA36" s="105"/>
      <c r="AB36" s="105"/>
      <c r="AC36" s="105"/>
      <c r="AD36" s="108">
        <v>1</v>
      </c>
      <c r="AE36" s="105"/>
      <c r="AF36" t="s" s="176">
        <v>37</v>
      </c>
      <c r="AG36" t="s" s="167">
        <v>671</v>
      </c>
      <c r="AH36" s="181"/>
      <c r="AI36" s="115"/>
      <c r="AJ36" s="17"/>
      <c r="AK36" s="17"/>
      <c r="AL36" s="17"/>
      <c r="AM36" s="17"/>
      <c r="AN36" s="17"/>
      <c r="AO36" s="17"/>
      <c r="AP36" s="17"/>
      <c r="AQ36" s="17"/>
      <c r="AR36" s="17"/>
      <c r="AS36" s="17"/>
    </row>
    <row r="37" ht="17" customHeight="1">
      <c r="A37" t="s" s="167">
        <v>752</v>
      </c>
      <c r="B37" s="105"/>
      <c r="C37" s="108">
        <v>14</v>
      </c>
      <c r="D37" t="s" s="167">
        <v>667</v>
      </c>
      <c r="E37" s="205">
        <v>29</v>
      </c>
      <c r="F37" s="108">
        <v>417</v>
      </c>
      <c r="G37" t="s" s="167">
        <v>753</v>
      </c>
      <c r="H37" t="s" s="167">
        <v>326</v>
      </c>
      <c r="I37" s="108">
        <v>1</v>
      </c>
      <c r="J37" s="105"/>
      <c r="K37" s="105"/>
      <c r="L37" s="105"/>
      <c r="M37" s="105"/>
      <c r="N37" s="105"/>
      <c r="O37" s="97">
        <v>1</v>
      </c>
      <c r="P37" s="98"/>
      <c r="Q37" s="98"/>
      <c r="R37" s="98"/>
      <c r="S37" s="108">
        <v>25</v>
      </c>
      <c r="T37" s="108">
        <v>1886</v>
      </c>
      <c r="U37" s="98"/>
      <c r="V37" s="177">
        <v>1</v>
      </c>
      <c r="W37" s="202"/>
      <c r="X37" s="105"/>
      <c r="Y37" t="s" s="167">
        <v>756</v>
      </c>
      <c r="Z37" t="s" s="167">
        <v>757</v>
      </c>
      <c r="AA37" s="108">
        <v>1</v>
      </c>
      <c r="AB37" s="105"/>
      <c r="AC37" s="108">
        <v>1</v>
      </c>
      <c r="AD37" s="108">
        <v>1</v>
      </c>
      <c r="AE37" s="105"/>
      <c r="AF37" t="s" s="176">
        <v>37</v>
      </c>
      <c r="AG37" t="s" s="167">
        <v>671</v>
      </c>
      <c r="AH37" s="181"/>
      <c r="AI37" s="115"/>
      <c r="AJ37" s="17"/>
      <c r="AK37" s="17"/>
      <c r="AL37" s="17"/>
      <c r="AM37" s="17"/>
      <c r="AN37" s="17"/>
      <c r="AO37" s="17"/>
      <c r="AP37" s="17"/>
      <c r="AQ37" s="17"/>
      <c r="AR37" s="17"/>
      <c r="AS37" s="17"/>
    </row>
    <row r="38" ht="18" customHeight="1">
      <c r="A38" t="s" s="153">
        <v>752</v>
      </c>
      <c r="B38" s="183"/>
      <c r="C38" s="182">
        <v>14</v>
      </c>
      <c r="D38" t="s" s="153">
        <v>667</v>
      </c>
      <c r="E38" s="206">
        <v>29</v>
      </c>
      <c r="F38" s="182">
        <v>417</v>
      </c>
      <c r="G38" t="s" s="153">
        <v>753</v>
      </c>
      <c r="H38" t="s" s="153">
        <v>758</v>
      </c>
      <c r="I38" s="183"/>
      <c r="J38" s="183"/>
      <c r="K38" s="182">
        <v>1</v>
      </c>
      <c r="L38" s="183"/>
      <c r="M38" s="183"/>
      <c r="N38" s="183"/>
      <c r="O38" s="184">
        <v>1</v>
      </c>
      <c r="P38" s="185"/>
      <c r="Q38" s="185"/>
      <c r="R38" s="185"/>
      <c r="S38" s="207">
        <v>11</v>
      </c>
      <c r="T38" s="182">
        <v>1900</v>
      </c>
      <c r="U38" s="185"/>
      <c r="V38" s="186">
        <v>1</v>
      </c>
      <c r="W38" s="183"/>
      <c r="X38" s="183"/>
      <c r="Y38" t="s" s="153">
        <v>759</v>
      </c>
      <c r="Z38" s="183"/>
      <c r="AA38" s="183"/>
      <c r="AB38" s="183"/>
      <c r="AC38" s="183"/>
      <c r="AD38" s="182">
        <v>1</v>
      </c>
      <c r="AE38" s="183"/>
      <c r="AF38" t="s" s="154">
        <v>37</v>
      </c>
      <c r="AG38" t="s" s="153">
        <v>671</v>
      </c>
      <c r="AH38" s="187"/>
      <c r="AI38" s="188"/>
      <c r="AJ38" s="189"/>
      <c r="AK38" s="189"/>
      <c r="AL38" s="189"/>
      <c r="AM38" s="189"/>
      <c r="AN38" s="189"/>
      <c r="AO38" s="189"/>
      <c r="AP38" s="189"/>
      <c r="AQ38" s="189"/>
      <c r="AR38" s="189"/>
      <c r="AS38" s="189"/>
    </row>
    <row r="39" ht="17" customHeight="1">
      <c r="A39" t="s" s="168">
        <v>760</v>
      </c>
      <c r="B39" s="170"/>
      <c r="C39" s="169">
        <v>12</v>
      </c>
      <c r="D39" t="s" s="168">
        <v>667</v>
      </c>
      <c r="E39" s="204">
        <v>29</v>
      </c>
      <c r="F39" s="169">
        <v>417</v>
      </c>
      <c r="G39" t="s" s="168">
        <v>761</v>
      </c>
      <c r="H39" t="s" s="168">
        <v>550</v>
      </c>
      <c r="I39" s="170"/>
      <c r="J39" s="169">
        <v>1</v>
      </c>
      <c r="K39" s="170"/>
      <c r="L39" s="170"/>
      <c r="M39" s="169">
        <v>1</v>
      </c>
      <c r="N39" s="170"/>
      <c r="O39" s="172"/>
      <c r="P39" s="172"/>
      <c r="Q39" s="172"/>
      <c r="R39" s="172"/>
      <c r="S39" s="173">
        <v>57</v>
      </c>
      <c r="T39" s="173">
        <v>1854</v>
      </c>
      <c r="U39" s="173">
        <v>1</v>
      </c>
      <c r="V39" s="172"/>
      <c r="W39" s="170"/>
      <c r="X39" s="172"/>
      <c r="Y39" t="s" s="168">
        <v>367</v>
      </c>
      <c r="Z39" t="s" s="168">
        <v>711</v>
      </c>
      <c r="AA39" s="169">
        <v>1</v>
      </c>
      <c r="AB39" s="170"/>
      <c r="AC39" s="169">
        <v>1</v>
      </c>
      <c r="AD39" s="169">
        <v>1</v>
      </c>
      <c r="AE39" s="170"/>
      <c r="AF39" t="s" s="171">
        <v>37</v>
      </c>
      <c r="AG39" t="s" s="168">
        <v>762</v>
      </c>
      <c r="AH39" s="193"/>
      <c r="AI39" s="194"/>
      <c r="AJ39" s="195"/>
      <c r="AK39" s="195"/>
      <c r="AL39" s="195"/>
      <c r="AM39" s="195"/>
      <c r="AN39" s="195"/>
      <c r="AO39" s="195"/>
      <c r="AP39" s="195"/>
      <c r="AQ39" s="195"/>
      <c r="AR39" s="195"/>
      <c r="AS39" s="195"/>
    </row>
    <row r="40" ht="17" customHeight="1">
      <c r="A40" t="s" s="167">
        <v>760</v>
      </c>
      <c r="B40" s="105"/>
      <c r="C40" s="108">
        <v>12</v>
      </c>
      <c r="D40" t="s" s="167">
        <v>667</v>
      </c>
      <c r="E40" s="205">
        <v>29</v>
      </c>
      <c r="F40" s="108">
        <v>417</v>
      </c>
      <c r="G40" t="s" s="167">
        <v>761</v>
      </c>
      <c r="H40" t="s" s="167">
        <v>49</v>
      </c>
      <c r="I40" s="105"/>
      <c r="J40" s="108">
        <v>1</v>
      </c>
      <c r="K40" s="105"/>
      <c r="L40" s="105"/>
      <c r="M40" s="105"/>
      <c r="N40" s="108">
        <v>1</v>
      </c>
      <c r="O40" s="98"/>
      <c r="P40" s="98"/>
      <c r="Q40" s="98"/>
      <c r="R40" s="98"/>
      <c r="S40" s="97">
        <v>55</v>
      </c>
      <c r="T40" s="97">
        <v>1856</v>
      </c>
      <c r="U40" s="200">
        <v>1</v>
      </c>
      <c r="V40" s="98"/>
      <c r="W40" s="105"/>
      <c r="X40" s="97">
        <v>34</v>
      </c>
      <c r="Y40" s="105"/>
      <c r="Z40" s="105"/>
      <c r="AA40" s="105"/>
      <c r="AB40" s="105"/>
      <c r="AC40" s="105"/>
      <c r="AD40" s="108">
        <v>1</v>
      </c>
      <c r="AE40" s="105"/>
      <c r="AF40" t="s" s="176">
        <v>37</v>
      </c>
      <c r="AG40" t="s" s="167">
        <v>763</v>
      </c>
      <c r="AH40" s="181"/>
      <c r="AI40" s="115"/>
      <c r="AJ40" s="17"/>
      <c r="AK40" s="17"/>
      <c r="AL40" s="17"/>
      <c r="AM40" s="17"/>
      <c r="AN40" s="17"/>
      <c r="AO40" s="17"/>
      <c r="AP40" s="17"/>
      <c r="AQ40" s="17"/>
      <c r="AR40" s="17"/>
      <c r="AS40" s="17"/>
    </row>
    <row r="41" ht="17" customHeight="1">
      <c r="A41" t="s" s="167">
        <v>760</v>
      </c>
      <c r="B41" s="105"/>
      <c r="C41" s="108">
        <v>12</v>
      </c>
      <c r="D41" t="s" s="167">
        <v>667</v>
      </c>
      <c r="E41" s="205">
        <v>29</v>
      </c>
      <c r="F41" s="108">
        <v>417</v>
      </c>
      <c r="G41" t="s" s="167">
        <v>761</v>
      </c>
      <c r="H41" t="s" s="167">
        <v>573</v>
      </c>
      <c r="I41" s="105"/>
      <c r="J41" s="108">
        <v>1</v>
      </c>
      <c r="K41" s="105"/>
      <c r="L41" s="105"/>
      <c r="M41" s="105"/>
      <c r="N41" s="105"/>
      <c r="O41" s="97">
        <v>1</v>
      </c>
      <c r="P41" s="98"/>
      <c r="Q41" s="98"/>
      <c r="R41" s="98"/>
      <c r="S41" s="108">
        <v>20</v>
      </c>
      <c r="T41" s="108">
        <v>1891</v>
      </c>
      <c r="U41" s="98"/>
      <c r="V41" s="177">
        <v>1</v>
      </c>
      <c r="W41" s="105"/>
      <c r="X41" s="105"/>
      <c r="Y41" t="s" s="167">
        <v>764</v>
      </c>
      <c r="Z41" t="s" s="167">
        <v>765</v>
      </c>
      <c r="AA41" s="108">
        <v>1</v>
      </c>
      <c r="AB41" s="105"/>
      <c r="AC41" s="108">
        <v>1</v>
      </c>
      <c r="AD41" s="108">
        <v>1</v>
      </c>
      <c r="AE41" s="105"/>
      <c r="AF41" t="s" s="176">
        <v>37</v>
      </c>
      <c r="AG41" t="s" s="167">
        <v>237</v>
      </c>
      <c r="AH41" s="181"/>
      <c r="AI41" s="115"/>
      <c r="AJ41" s="17"/>
      <c r="AK41" s="17"/>
      <c r="AL41" s="17"/>
      <c r="AM41" s="17"/>
      <c r="AN41" s="17"/>
      <c r="AO41" s="17"/>
      <c r="AP41" s="17"/>
      <c r="AQ41" s="17"/>
      <c r="AR41" s="17"/>
      <c r="AS41" s="17"/>
    </row>
    <row r="42" ht="18" customHeight="1">
      <c r="A42" t="s" s="167">
        <v>760</v>
      </c>
      <c r="B42" s="105"/>
      <c r="C42" s="108">
        <v>12</v>
      </c>
      <c r="D42" t="s" s="167">
        <v>667</v>
      </c>
      <c r="E42" s="205">
        <v>29</v>
      </c>
      <c r="F42" s="108">
        <v>417</v>
      </c>
      <c r="G42" t="s" s="167">
        <v>761</v>
      </c>
      <c r="H42" t="s" s="167">
        <v>686</v>
      </c>
      <c r="I42" s="105"/>
      <c r="J42" s="108">
        <v>1</v>
      </c>
      <c r="K42" s="105"/>
      <c r="L42" s="105"/>
      <c r="M42" s="105"/>
      <c r="N42" s="105"/>
      <c r="O42" s="97">
        <v>1</v>
      </c>
      <c r="P42" s="98"/>
      <c r="Q42" s="98"/>
      <c r="R42" s="98"/>
      <c r="S42" s="108">
        <v>16</v>
      </c>
      <c r="T42" s="108">
        <v>1895</v>
      </c>
      <c r="U42" s="98"/>
      <c r="V42" s="177">
        <v>1</v>
      </c>
      <c r="W42" s="105"/>
      <c r="X42" s="105"/>
      <c r="Y42" t="s" s="167">
        <v>766</v>
      </c>
      <c r="Z42" s="105"/>
      <c r="AA42" s="108">
        <v>1</v>
      </c>
      <c r="AB42" s="105"/>
      <c r="AC42" s="108">
        <v>1</v>
      </c>
      <c r="AD42" s="108">
        <v>1</v>
      </c>
      <c r="AE42" s="105"/>
      <c r="AF42" t="s" s="176">
        <v>37</v>
      </c>
      <c r="AG42" t="s" s="153">
        <v>671</v>
      </c>
      <c r="AH42" s="181"/>
      <c r="AI42" s="115"/>
      <c r="AJ42" s="17"/>
      <c r="AK42" s="17"/>
      <c r="AL42" s="17"/>
      <c r="AM42" s="17"/>
      <c r="AN42" s="17"/>
      <c r="AO42" s="17"/>
      <c r="AP42" s="17"/>
      <c r="AQ42" s="17"/>
      <c r="AR42" s="17"/>
      <c r="AS42" s="17"/>
    </row>
    <row r="43" ht="18" customHeight="1">
      <c r="A43" t="s" s="153">
        <v>760</v>
      </c>
      <c r="B43" s="183"/>
      <c r="C43" s="182">
        <v>12</v>
      </c>
      <c r="D43" t="s" s="153">
        <v>667</v>
      </c>
      <c r="E43" s="206">
        <v>29</v>
      </c>
      <c r="F43" s="182">
        <v>417</v>
      </c>
      <c r="G43" t="s" s="153">
        <v>761</v>
      </c>
      <c r="H43" t="s" s="153">
        <v>767</v>
      </c>
      <c r="I43" s="183"/>
      <c r="J43" s="183"/>
      <c r="K43" s="182">
        <v>1</v>
      </c>
      <c r="L43" s="183"/>
      <c r="M43" s="183"/>
      <c r="N43" s="183"/>
      <c r="O43" s="184">
        <v>1</v>
      </c>
      <c r="P43" s="185"/>
      <c r="Q43" s="185"/>
      <c r="R43" s="185"/>
      <c r="S43" s="207">
        <v>11</v>
      </c>
      <c r="T43" s="182">
        <v>1900</v>
      </c>
      <c r="U43" s="185"/>
      <c r="V43" s="184">
        <v>1</v>
      </c>
      <c r="W43" s="183"/>
      <c r="X43" s="183"/>
      <c r="Y43" t="s" s="153">
        <v>759</v>
      </c>
      <c r="Z43" s="183"/>
      <c r="AA43" s="183"/>
      <c r="AB43" s="183"/>
      <c r="AC43" s="183"/>
      <c r="AD43" s="182">
        <v>1</v>
      </c>
      <c r="AE43" s="183"/>
      <c r="AF43" t="s" s="154">
        <v>37</v>
      </c>
      <c r="AG43" t="s" s="208">
        <v>671</v>
      </c>
      <c r="AH43" s="187"/>
      <c r="AI43" s="188"/>
      <c r="AJ43" s="189"/>
      <c r="AK43" s="189"/>
      <c r="AL43" s="189"/>
      <c r="AM43" s="189"/>
      <c r="AN43" s="189"/>
      <c r="AO43" s="189"/>
      <c r="AP43" s="189"/>
      <c r="AQ43" s="189"/>
      <c r="AR43" s="189"/>
      <c r="AS43" s="189"/>
    </row>
    <row r="44" ht="17" customHeight="1">
      <c r="A44" t="s" s="168">
        <v>768</v>
      </c>
      <c r="B44" s="170"/>
      <c r="C44" s="169">
        <v>10</v>
      </c>
      <c r="D44" t="s" s="168">
        <v>667</v>
      </c>
      <c r="E44" s="204">
        <v>23</v>
      </c>
      <c r="F44" s="169">
        <v>417</v>
      </c>
      <c r="G44" t="s" s="168">
        <v>769</v>
      </c>
      <c r="H44" t="s" s="168">
        <v>754</v>
      </c>
      <c r="I44" s="170"/>
      <c r="J44" s="169">
        <v>1</v>
      </c>
      <c r="K44" s="170"/>
      <c r="L44" s="170"/>
      <c r="M44" s="169">
        <v>1</v>
      </c>
      <c r="N44" s="170"/>
      <c r="O44" s="172"/>
      <c r="P44" s="172"/>
      <c r="Q44" s="172"/>
      <c r="R44" s="172"/>
      <c r="S44" s="169">
        <v>69</v>
      </c>
      <c r="T44" s="169">
        <v>1842</v>
      </c>
      <c r="U44" s="172"/>
      <c r="V44" s="172"/>
      <c r="W44" s="169">
        <v>1</v>
      </c>
      <c r="X44" s="170"/>
      <c r="Y44" t="s" s="168">
        <v>770</v>
      </c>
      <c r="Z44" t="s" s="168">
        <v>178</v>
      </c>
      <c r="AA44" s="169">
        <v>1</v>
      </c>
      <c r="AB44" s="170"/>
      <c r="AC44" s="169">
        <v>1</v>
      </c>
      <c r="AD44" s="169">
        <v>1</v>
      </c>
      <c r="AE44" s="170"/>
      <c r="AF44" t="s" s="171">
        <v>37</v>
      </c>
      <c r="AG44" t="s" s="168">
        <v>771</v>
      </c>
      <c r="AH44" s="193"/>
      <c r="AI44" s="194"/>
      <c r="AJ44" s="195"/>
      <c r="AK44" s="195"/>
      <c r="AL44" s="195"/>
      <c r="AM44" s="195"/>
      <c r="AN44" s="195"/>
      <c r="AO44" s="195"/>
      <c r="AP44" s="195"/>
      <c r="AQ44" s="195"/>
      <c r="AR44" s="195"/>
      <c r="AS44" s="195"/>
    </row>
    <row r="45" ht="17" customHeight="1">
      <c r="A45" t="s" s="167">
        <v>768</v>
      </c>
      <c r="B45" s="105"/>
      <c r="C45" s="108">
        <v>10</v>
      </c>
      <c r="D45" t="s" s="167">
        <v>667</v>
      </c>
      <c r="E45" s="205">
        <v>23</v>
      </c>
      <c r="F45" s="108">
        <v>417</v>
      </c>
      <c r="G45" t="s" s="167">
        <v>769</v>
      </c>
      <c r="H45" t="s" s="167">
        <v>767</v>
      </c>
      <c r="I45" s="108">
        <v>1</v>
      </c>
      <c r="J45" s="105"/>
      <c r="K45" s="105"/>
      <c r="L45" s="105"/>
      <c r="M45" s="105"/>
      <c r="N45" s="105"/>
      <c r="O45" s="108">
        <v>1</v>
      </c>
      <c r="P45" s="105"/>
      <c r="Q45" s="105"/>
      <c r="R45" s="105"/>
      <c r="S45" s="108">
        <v>35</v>
      </c>
      <c r="T45" s="108">
        <v>1876</v>
      </c>
      <c r="U45" s="105"/>
      <c r="V45" s="209">
        <v>1</v>
      </c>
      <c r="W45" s="105"/>
      <c r="X45" s="105"/>
      <c r="Y45" s="105"/>
      <c r="Z45" s="105"/>
      <c r="AA45" s="105"/>
      <c r="AB45" s="105"/>
      <c r="AC45" s="105"/>
      <c r="AD45" s="108">
        <v>1</v>
      </c>
      <c r="AE45" s="105"/>
      <c r="AF45" t="s" s="176">
        <v>37</v>
      </c>
      <c r="AG45" t="s" s="167">
        <v>772</v>
      </c>
      <c r="AH45" s="181"/>
      <c r="AI45" s="115"/>
      <c r="AJ45" s="17"/>
      <c r="AK45" s="17"/>
      <c r="AL45" s="17"/>
      <c r="AM45" s="17"/>
      <c r="AN45" s="17"/>
      <c r="AO45" s="17"/>
      <c r="AP45" s="17"/>
      <c r="AQ45" s="17"/>
      <c r="AR45" s="17"/>
      <c r="AS45" s="17"/>
    </row>
    <row r="46" ht="18" customHeight="1">
      <c r="A46" t="s" s="153">
        <v>768</v>
      </c>
      <c r="B46" s="183"/>
      <c r="C46" s="182">
        <v>10</v>
      </c>
      <c r="D46" t="s" s="153">
        <v>667</v>
      </c>
      <c r="E46" s="206">
        <v>23</v>
      </c>
      <c r="F46" s="182">
        <v>417</v>
      </c>
      <c r="G46" t="s" s="153">
        <v>769</v>
      </c>
      <c r="H46" t="s" s="153">
        <v>51</v>
      </c>
      <c r="I46" s="182">
        <v>1</v>
      </c>
      <c r="J46" s="183"/>
      <c r="K46" s="183"/>
      <c r="L46" s="183"/>
      <c r="M46" s="183"/>
      <c r="N46" s="183"/>
      <c r="O46" s="184">
        <v>1</v>
      </c>
      <c r="P46" s="185"/>
      <c r="Q46" s="185"/>
      <c r="R46" s="185"/>
      <c r="S46" s="182">
        <v>32</v>
      </c>
      <c r="T46" s="182">
        <v>1879</v>
      </c>
      <c r="U46" s="185"/>
      <c r="V46" s="186">
        <v>1</v>
      </c>
      <c r="W46" s="210"/>
      <c r="X46" s="183"/>
      <c r="Y46" t="s" s="153">
        <v>773</v>
      </c>
      <c r="Z46" t="s" s="153">
        <v>418</v>
      </c>
      <c r="AA46" s="182">
        <v>1</v>
      </c>
      <c r="AB46" s="183"/>
      <c r="AC46" s="182">
        <v>1</v>
      </c>
      <c r="AD46" s="182">
        <v>1</v>
      </c>
      <c r="AE46" s="183"/>
      <c r="AF46" t="s" s="154">
        <v>37</v>
      </c>
      <c r="AG46" t="s" s="153">
        <v>772</v>
      </c>
      <c r="AH46" s="187"/>
      <c r="AI46" s="188"/>
      <c r="AJ46" s="189"/>
      <c r="AK46" s="189"/>
      <c r="AL46" s="189"/>
      <c r="AM46" s="189"/>
      <c r="AN46" s="189"/>
      <c r="AO46" s="189"/>
      <c r="AP46" s="189"/>
      <c r="AQ46" s="189"/>
      <c r="AR46" s="189"/>
      <c r="AS46" s="189"/>
    </row>
    <row r="47" ht="17.5" customHeight="1">
      <c r="A47" t="s" s="168">
        <v>774</v>
      </c>
      <c r="B47" s="170"/>
      <c r="C47" s="169">
        <v>8</v>
      </c>
      <c r="D47" t="s" s="168">
        <v>667</v>
      </c>
      <c r="E47" s="204">
        <v>23</v>
      </c>
      <c r="F47" s="169">
        <v>417</v>
      </c>
      <c r="G47" t="s" s="168">
        <v>60</v>
      </c>
      <c r="H47" t="s" s="168">
        <v>775</v>
      </c>
      <c r="I47" s="170"/>
      <c r="J47" s="169">
        <v>1</v>
      </c>
      <c r="K47" s="170"/>
      <c r="L47" s="170"/>
      <c r="M47" s="169">
        <v>1</v>
      </c>
      <c r="N47" s="170"/>
      <c r="O47" s="172"/>
      <c r="P47" s="172"/>
      <c r="Q47" s="172"/>
      <c r="R47" s="172"/>
      <c r="S47" s="169">
        <v>24</v>
      </c>
      <c r="T47" s="169">
        <v>1887</v>
      </c>
      <c r="U47" s="173">
        <v>1</v>
      </c>
      <c r="V47" s="172"/>
      <c r="W47" s="170"/>
      <c r="X47" s="170"/>
      <c r="Y47" t="s" s="168">
        <v>776</v>
      </c>
      <c r="Z47" t="s" s="168">
        <v>178</v>
      </c>
      <c r="AA47" s="169">
        <v>1</v>
      </c>
      <c r="AB47" s="170"/>
      <c r="AC47" s="170"/>
      <c r="AD47" s="170"/>
      <c r="AE47" s="169">
        <v>1</v>
      </c>
      <c r="AF47" t="s" s="168">
        <v>166</v>
      </c>
      <c r="AG47" t="s" s="168">
        <v>777</v>
      </c>
      <c r="AH47" s="193"/>
      <c r="AI47" s="194"/>
      <c r="AJ47" s="195"/>
      <c r="AK47" s="195"/>
      <c r="AL47" s="195"/>
      <c r="AM47" s="195"/>
      <c r="AN47" s="195"/>
      <c r="AO47" s="195"/>
      <c r="AP47" s="195"/>
      <c r="AQ47" s="195"/>
      <c r="AR47" s="195"/>
      <c r="AS47" s="195"/>
    </row>
    <row r="48" ht="17" customHeight="1">
      <c r="A48" t="s" s="167">
        <v>774</v>
      </c>
      <c r="B48" s="105"/>
      <c r="C48" s="108">
        <v>8</v>
      </c>
      <c r="D48" t="s" s="167">
        <v>667</v>
      </c>
      <c r="E48" s="205">
        <v>23</v>
      </c>
      <c r="F48" s="108">
        <v>417</v>
      </c>
      <c r="G48" t="s" s="167">
        <v>60</v>
      </c>
      <c r="H48" t="s" s="167">
        <v>260</v>
      </c>
      <c r="I48" s="108">
        <v>1</v>
      </c>
      <c r="J48" s="105"/>
      <c r="K48" s="105"/>
      <c r="L48" s="105"/>
      <c r="M48" s="105"/>
      <c r="N48" s="108">
        <v>1</v>
      </c>
      <c r="O48" s="98"/>
      <c r="P48" s="98"/>
      <c r="Q48" s="98"/>
      <c r="R48" s="98"/>
      <c r="S48" s="108">
        <v>28</v>
      </c>
      <c r="T48" s="108">
        <v>1883</v>
      </c>
      <c r="U48" s="200">
        <v>1</v>
      </c>
      <c r="V48" s="98"/>
      <c r="W48" s="105"/>
      <c r="X48" s="108">
        <v>4</v>
      </c>
      <c r="Y48" s="105"/>
      <c r="Z48" s="105"/>
      <c r="AA48" s="105"/>
      <c r="AB48" s="105"/>
      <c r="AC48" s="105"/>
      <c r="AD48" s="105"/>
      <c r="AE48" s="108">
        <v>1</v>
      </c>
      <c r="AF48" t="s" s="167">
        <v>377</v>
      </c>
      <c r="AG48" t="s" s="167">
        <v>778</v>
      </c>
      <c r="AH48" s="181"/>
      <c r="AI48" s="115"/>
      <c r="AJ48" s="17"/>
      <c r="AK48" s="17"/>
      <c r="AL48" s="17"/>
      <c r="AM48" s="17"/>
      <c r="AN48" s="17"/>
      <c r="AO48" s="17"/>
      <c r="AP48" s="17"/>
      <c r="AQ48" s="17"/>
      <c r="AR48" s="17"/>
      <c r="AS48" s="17"/>
    </row>
    <row r="49" ht="17" customHeight="1">
      <c r="A49" t="s" s="167">
        <v>774</v>
      </c>
      <c r="B49" s="105"/>
      <c r="C49" s="108">
        <v>8</v>
      </c>
      <c r="D49" t="s" s="167">
        <v>667</v>
      </c>
      <c r="E49" s="205">
        <v>23</v>
      </c>
      <c r="F49" s="108">
        <v>417</v>
      </c>
      <c r="G49" t="s" s="167">
        <v>60</v>
      </c>
      <c r="H49" t="s" s="167">
        <v>779</v>
      </c>
      <c r="I49" s="105"/>
      <c r="J49" s="105"/>
      <c r="K49" s="108">
        <v>1</v>
      </c>
      <c r="L49" s="105"/>
      <c r="M49" s="105"/>
      <c r="N49" s="105"/>
      <c r="O49" s="97">
        <v>1</v>
      </c>
      <c r="P49" s="98"/>
      <c r="Q49" s="98"/>
      <c r="R49" s="98"/>
      <c r="S49" s="211">
        <v>3</v>
      </c>
      <c r="T49" s="108">
        <v>1908</v>
      </c>
      <c r="U49" s="98"/>
      <c r="V49" s="177">
        <v>1</v>
      </c>
      <c r="W49" s="202"/>
      <c r="X49" s="105"/>
      <c r="Y49" s="105"/>
      <c r="Z49" s="105"/>
      <c r="AA49" s="105"/>
      <c r="AB49" s="105"/>
      <c r="AC49" s="105"/>
      <c r="AD49" s="105"/>
      <c r="AE49" s="108">
        <v>1</v>
      </c>
      <c r="AF49" t="s" s="167">
        <v>377</v>
      </c>
      <c r="AG49" t="s" s="167">
        <v>778</v>
      </c>
      <c r="AH49" s="181"/>
      <c r="AI49" s="115"/>
      <c r="AJ49" s="17"/>
      <c r="AK49" s="17"/>
      <c r="AL49" s="17"/>
      <c r="AM49" s="17"/>
      <c r="AN49" s="17"/>
      <c r="AO49" s="17"/>
      <c r="AP49" s="17"/>
      <c r="AQ49" s="17"/>
      <c r="AR49" s="17"/>
      <c r="AS49" s="17"/>
    </row>
    <row r="50" ht="17" customHeight="1">
      <c r="A50" t="s" s="153">
        <v>774</v>
      </c>
      <c r="B50" s="183"/>
      <c r="C50" s="182">
        <v>8</v>
      </c>
      <c r="D50" t="s" s="153">
        <v>667</v>
      </c>
      <c r="E50" s="206">
        <v>23</v>
      </c>
      <c r="F50" s="182">
        <v>417</v>
      </c>
      <c r="G50" t="s" s="153">
        <v>60</v>
      </c>
      <c r="H50" t="s" s="153">
        <v>780</v>
      </c>
      <c r="I50" s="183"/>
      <c r="J50" s="183"/>
      <c r="K50" s="182">
        <v>1</v>
      </c>
      <c r="L50" s="183"/>
      <c r="M50" s="183"/>
      <c r="N50" s="183"/>
      <c r="O50" s="184">
        <v>1</v>
      </c>
      <c r="P50" s="185"/>
      <c r="Q50" s="185"/>
      <c r="R50" s="185"/>
      <c r="S50" s="207">
        <v>0.5</v>
      </c>
      <c r="T50" s="182">
        <v>1910</v>
      </c>
      <c r="U50" s="185"/>
      <c r="V50" s="186">
        <v>1</v>
      </c>
      <c r="W50" s="183"/>
      <c r="X50" s="183"/>
      <c r="Y50" s="183"/>
      <c r="Z50" s="183"/>
      <c r="AA50" s="183"/>
      <c r="AB50" s="183"/>
      <c r="AC50" s="183"/>
      <c r="AD50" s="182">
        <v>1</v>
      </c>
      <c r="AE50" s="183"/>
      <c r="AF50" t="s" s="153">
        <v>37</v>
      </c>
      <c r="AG50" t="s" s="153">
        <v>671</v>
      </c>
      <c r="AH50" s="187"/>
      <c r="AI50" s="188"/>
      <c r="AJ50" s="189"/>
      <c r="AK50" s="189"/>
      <c r="AL50" s="189"/>
      <c r="AM50" s="189"/>
      <c r="AN50" s="189"/>
      <c r="AO50" s="189"/>
      <c r="AP50" s="189"/>
      <c r="AQ50" s="189"/>
      <c r="AR50" s="189"/>
      <c r="AS50" s="189"/>
    </row>
    <row r="51" ht="17.5" customHeight="1">
      <c r="A51" t="s" s="168">
        <v>781</v>
      </c>
      <c r="B51" s="170"/>
      <c r="C51" s="169">
        <v>23</v>
      </c>
      <c r="D51" t="s" s="168">
        <v>667</v>
      </c>
      <c r="E51" s="170"/>
      <c r="F51" s="169">
        <v>416</v>
      </c>
      <c r="G51" t="s" s="168">
        <v>782</v>
      </c>
      <c r="H51" t="s" s="168">
        <v>43</v>
      </c>
      <c r="I51" s="169">
        <v>1</v>
      </c>
      <c r="J51" s="170"/>
      <c r="K51" s="170"/>
      <c r="L51" s="170"/>
      <c r="M51" s="212">
        <v>1</v>
      </c>
      <c r="N51" s="170"/>
      <c r="O51" s="172"/>
      <c r="P51" s="172"/>
      <c r="Q51" s="172"/>
      <c r="R51" s="172"/>
      <c r="S51" s="169">
        <v>75</v>
      </c>
      <c r="T51" s="169">
        <v>1836</v>
      </c>
      <c r="U51" s="172"/>
      <c r="V51" s="213">
        <v>1</v>
      </c>
      <c r="W51" s="170"/>
      <c r="X51" s="170"/>
      <c r="Y51" t="s" s="168">
        <v>171</v>
      </c>
      <c r="Z51" s="170"/>
      <c r="AA51" s="170"/>
      <c r="AB51" s="170"/>
      <c r="AC51" s="170"/>
      <c r="AD51" s="169">
        <v>1</v>
      </c>
      <c r="AE51" s="170"/>
      <c r="AF51" t="s" s="168">
        <v>37</v>
      </c>
      <c r="AG51" t="s" s="168">
        <v>671</v>
      </c>
      <c r="AH51" s="193"/>
      <c r="AI51" s="194"/>
      <c r="AJ51" s="195"/>
      <c r="AK51" s="195"/>
      <c r="AL51" s="195"/>
      <c r="AM51" s="195"/>
      <c r="AN51" s="195"/>
      <c r="AO51" s="195"/>
      <c r="AP51" s="195"/>
      <c r="AQ51" s="195"/>
      <c r="AR51" s="195"/>
      <c r="AS51" s="195"/>
    </row>
    <row r="52" ht="17" customHeight="1">
      <c r="A52" t="s" s="167">
        <v>781</v>
      </c>
      <c r="B52" s="105"/>
      <c r="C52" s="108">
        <v>23</v>
      </c>
      <c r="D52" t="s" s="167">
        <v>667</v>
      </c>
      <c r="E52" s="105"/>
      <c r="F52" s="108">
        <v>416</v>
      </c>
      <c r="G52" t="s" s="167">
        <v>782</v>
      </c>
      <c r="H52" t="s" s="167">
        <v>204</v>
      </c>
      <c r="I52" s="108">
        <v>1</v>
      </c>
      <c r="J52" s="105"/>
      <c r="K52" s="105"/>
      <c r="L52" s="105"/>
      <c r="M52" s="105"/>
      <c r="N52" s="105"/>
      <c r="O52" s="98"/>
      <c r="P52" s="98"/>
      <c r="Q52" s="97">
        <v>1</v>
      </c>
      <c r="R52" s="98"/>
      <c r="S52" s="108">
        <v>71</v>
      </c>
      <c r="T52" s="108">
        <v>1840</v>
      </c>
      <c r="U52" s="98"/>
      <c r="V52" s="177">
        <v>1</v>
      </c>
      <c r="W52" s="105"/>
      <c r="X52" s="105"/>
      <c r="Y52" t="s" s="167">
        <v>171</v>
      </c>
      <c r="Z52" s="105"/>
      <c r="AA52" s="105"/>
      <c r="AB52" s="105"/>
      <c r="AC52" s="105"/>
      <c r="AD52" s="108">
        <v>1</v>
      </c>
      <c r="AE52" s="105"/>
      <c r="AF52" t="s" s="167">
        <v>37</v>
      </c>
      <c r="AG52" t="s" s="167">
        <v>671</v>
      </c>
      <c r="AH52" s="181"/>
      <c r="AI52" s="115"/>
      <c r="AJ52" s="17"/>
      <c r="AK52" s="17"/>
      <c r="AL52" s="17"/>
      <c r="AM52" s="17"/>
      <c r="AN52" s="17"/>
      <c r="AO52" s="17"/>
      <c r="AP52" s="17"/>
      <c r="AQ52" s="17"/>
      <c r="AR52" s="17"/>
      <c r="AS52" s="17"/>
    </row>
    <row r="53" ht="17" customHeight="1">
      <c r="A53" t="s" s="167">
        <v>781</v>
      </c>
      <c r="B53" s="105"/>
      <c r="C53" s="108">
        <v>23</v>
      </c>
      <c r="D53" t="s" s="167">
        <v>667</v>
      </c>
      <c r="E53" s="105"/>
      <c r="F53" s="108">
        <v>416</v>
      </c>
      <c r="G53" t="s" s="167">
        <v>783</v>
      </c>
      <c r="H53" t="s" s="167">
        <v>784</v>
      </c>
      <c r="I53" s="105"/>
      <c r="J53" s="108">
        <v>1</v>
      </c>
      <c r="K53" s="105"/>
      <c r="L53" s="105"/>
      <c r="M53" s="105"/>
      <c r="N53" s="105"/>
      <c r="O53" s="98"/>
      <c r="P53" s="98"/>
      <c r="Q53" s="97">
        <v>1</v>
      </c>
      <c r="R53" s="98"/>
      <c r="S53" s="108">
        <v>28</v>
      </c>
      <c r="T53" s="108">
        <v>1883</v>
      </c>
      <c r="U53" s="98"/>
      <c r="V53" s="97">
        <v>1</v>
      </c>
      <c r="W53" s="105"/>
      <c r="X53" s="105"/>
      <c r="Y53" t="s" s="167">
        <v>785</v>
      </c>
      <c r="Z53" t="s" s="167">
        <v>351</v>
      </c>
      <c r="AA53" s="108">
        <v>1</v>
      </c>
      <c r="AB53" s="105"/>
      <c r="AC53" s="108">
        <v>1</v>
      </c>
      <c r="AD53" s="108">
        <v>1</v>
      </c>
      <c r="AE53" s="105"/>
      <c r="AF53" t="s" s="167">
        <v>37</v>
      </c>
      <c r="AG53" t="s" s="167">
        <v>671</v>
      </c>
      <c r="AH53" s="181"/>
      <c r="AI53" s="115"/>
      <c r="AJ53" s="17"/>
      <c r="AK53" s="17"/>
      <c r="AL53" s="17"/>
      <c r="AM53" s="17"/>
      <c r="AN53" s="17"/>
      <c r="AO53" s="17"/>
      <c r="AP53" s="17"/>
      <c r="AQ53" s="17"/>
      <c r="AR53" s="17"/>
      <c r="AS53" s="17"/>
    </row>
    <row r="54" ht="17" customHeight="1">
      <c r="A54" t="s" s="167">
        <v>781</v>
      </c>
      <c r="B54" s="105"/>
      <c r="C54" s="108">
        <v>23</v>
      </c>
      <c r="D54" t="s" s="167">
        <v>667</v>
      </c>
      <c r="E54" s="105"/>
      <c r="F54" s="108">
        <v>416</v>
      </c>
      <c r="G54" t="s" s="167">
        <v>59</v>
      </c>
      <c r="H54" t="s" s="167">
        <v>266</v>
      </c>
      <c r="I54" s="108">
        <v>1</v>
      </c>
      <c r="J54" s="105"/>
      <c r="K54" s="105"/>
      <c r="L54" s="105"/>
      <c r="M54" s="105"/>
      <c r="N54" s="105"/>
      <c r="O54" s="98"/>
      <c r="P54" s="98"/>
      <c r="Q54" s="98"/>
      <c r="R54" s="97">
        <v>1</v>
      </c>
      <c r="S54" s="108">
        <v>24</v>
      </c>
      <c r="T54" s="108">
        <v>1887</v>
      </c>
      <c r="U54" s="98"/>
      <c r="V54" s="177">
        <v>1</v>
      </c>
      <c r="W54" s="105"/>
      <c r="X54" s="105"/>
      <c r="Y54" t="s" s="167">
        <v>162</v>
      </c>
      <c r="Z54" t="s" s="167">
        <v>178</v>
      </c>
      <c r="AA54" s="108">
        <v>1</v>
      </c>
      <c r="AB54" s="105"/>
      <c r="AC54" s="108">
        <v>1</v>
      </c>
      <c r="AD54" s="105"/>
      <c r="AE54" s="108">
        <v>1</v>
      </c>
      <c r="AF54" t="s" s="167">
        <v>71</v>
      </c>
      <c r="AG54" t="s" s="167">
        <v>786</v>
      </c>
      <c r="AH54" s="181"/>
      <c r="AI54" s="115"/>
      <c r="AJ54" s="17"/>
      <c r="AK54" s="17"/>
      <c r="AL54" s="17"/>
      <c r="AM54" s="17"/>
      <c r="AN54" s="17"/>
      <c r="AO54" s="17"/>
      <c r="AP54" s="17"/>
      <c r="AQ54" s="17"/>
      <c r="AR54" s="17"/>
      <c r="AS54" s="17"/>
    </row>
    <row r="55" ht="17" customHeight="1">
      <c r="A55" t="s" s="153">
        <v>781</v>
      </c>
      <c r="B55" s="183"/>
      <c r="C55" s="182">
        <v>23</v>
      </c>
      <c r="D55" t="s" s="153">
        <v>667</v>
      </c>
      <c r="E55" s="183"/>
      <c r="F55" s="182">
        <v>416</v>
      </c>
      <c r="G55" t="s" s="153">
        <v>787</v>
      </c>
      <c r="H55" t="s" s="153">
        <v>202</v>
      </c>
      <c r="I55" s="182">
        <v>1</v>
      </c>
      <c r="J55" s="183"/>
      <c r="K55" s="183"/>
      <c r="L55" s="183"/>
      <c r="M55" s="183"/>
      <c r="N55" s="183"/>
      <c r="O55" s="185"/>
      <c r="P55" s="185"/>
      <c r="Q55" s="185"/>
      <c r="R55" s="184">
        <v>1</v>
      </c>
      <c r="S55" s="182">
        <v>23</v>
      </c>
      <c r="T55" s="182">
        <v>1888</v>
      </c>
      <c r="U55" s="185"/>
      <c r="V55" s="186">
        <v>1</v>
      </c>
      <c r="W55" s="183"/>
      <c r="X55" s="183"/>
      <c r="Y55" t="s" s="153">
        <v>159</v>
      </c>
      <c r="Z55" t="s" s="153">
        <v>178</v>
      </c>
      <c r="AA55" s="182">
        <v>1</v>
      </c>
      <c r="AB55" s="183"/>
      <c r="AC55" s="182">
        <v>1</v>
      </c>
      <c r="AD55" s="183"/>
      <c r="AE55" s="182">
        <v>1</v>
      </c>
      <c r="AF55" t="s" s="153">
        <v>730</v>
      </c>
      <c r="AG55" t="s" s="153">
        <v>731</v>
      </c>
      <c r="AH55" s="187"/>
      <c r="AI55" s="188"/>
      <c r="AJ55" s="189"/>
      <c r="AK55" s="189"/>
      <c r="AL55" s="189"/>
      <c r="AM55" s="189"/>
      <c r="AN55" s="189"/>
      <c r="AO55" s="189"/>
      <c r="AP55" s="189"/>
      <c r="AQ55" s="189"/>
      <c r="AR55" s="189"/>
      <c r="AS55" s="189"/>
    </row>
    <row r="56" ht="17.5" customHeight="1">
      <c r="A56" t="s" s="168">
        <v>788</v>
      </c>
      <c r="B56" t="s" s="168">
        <v>789</v>
      </c>
      <c r="C56" s="169">
        <v>21</v>
      </c>
      <c r="D56" t="s" s="168">
        <v>667</v>
      </c>
      <c r="E56" s="170"/>
      <c r="F56" s="169">
        <v>414</v>
      </c>
      <c r="G56" t="s" s="168">
        <v>790</v>
      </c>
      <c r="H56" t="s" s="168">
        <v>791</v>
      </c>
      <c r="I56" s="170"/>
      <c r="J56" s="169">
        <v>1</v>
      </c>
      <c r="K56" s="170"/>
      <c r="L56" s="170"/>
      <c r="M56" s="169">
        <v>1</v>
      </c>
      <c r="N56" s="170"/>
      <c r="O56" s="172"/>
      <c r="P56" s="172"/>
      <c r="Q56" s="172"/>
      <c r="R56" s="172"/>
      <c r="S56" s="169">
        <v>38</v>
      </c>
      <c r="T56" s="169">
        <v>1873</v>
      </c>
      <c r="U56" s="173">
        <v>1</v>
      </c>
      <c r="V56" s="172"/>
      <c r="W56" s="170"/>
      <c r="X56" s="170"/>
      <c r="Y56" t="s" s="168">
        <v>792</v>
      </c>
      <c r="Z56" t="s" s="168">
        <v>793</v>
      </c>
      <c r="AA56" s="169">
        <v>1</v>
      </c>
      <c r="AB56" s="169">
        <v>1</v>
      </c>
      <c r="AC56" s="170"/>
      <c r="AD56" s="170"/>
      <c r="AE56" s="169">
        <v>1</v>
      </c>
      <c r="AF56" t="s" s="214">
        <v>794</v>
      </c>
      <c r="AG56" t="s" s="168">
        <v>795</v>
      </c>
      <c r="AH56" s="193"/>
      <c r="AI56" s="194"/>
      <c r="AJ56" s="195"/>
      <c r="AK56" s="195"/>
      <c r="AL56" s="195"/>
      <c r="AM56" s="195"/>
      <c r="AN56" s="195"/>
      <c r="AO56" s="195"/>
      <c r="AP56" s="195"/>
      <c r="AQ56" s="195"/>
      <c r="AR56" s="195"/>
      <c r="AS56" s="195"/>
    </row>
    <row r="57" ht="17" customHeight="1">
      <c r="A57" t="s" s="167">
        <v>788</v>
      </c>
      <c r="B57" t="s" s="167">
        <v>789</v>
      </c>
      <c r="C57" s="108">
        <v>21</v>
      </c>
      <c r="D57" t="s" s="167">
        <v>667</v>
      </c>
      <c r="E57" s="105"/>
      <c r="F57" s="108">
        <v>414</v>
      </c>
      <c r="G57" t="s" s="167">
        <v>790</v>
      </c>
      <c r="H57" t="s" s="167">
        <v>202</v>
      </c>
      <c r="I57" s="108">
        <v>1</v>
      </c>
      <c r="J57" s="105"/>
      <c r="K57" s="105"/>
      <c r="L57" s="105"/>
      <c r="M57" s="105"/>
      <c r="N57" s="108">
        <v>1</v>
      </c>
      <c r="O57" s="98"/>
      <c r="P57" s="98"/>
      <c r="Q57" s="98"/>
      <c r="R57" s="98"/>
      <c r="S57" s="108">
        <v>33</v>
      </c>
      <c r="T57" s="108">
        <v>1878</v>
      </c>
      <c r="U57" s="200">
        <v>1</v>
      </c>
      <c r="V57" s="98"/>
      <c r="W57" s="105"/>
      <c r="X57" s="108">
        <v>1</v>
      </c>
      <c r="Y57" s="105"/>
      <c r="Z57" s="105"/>
      <c r="AA57" s="105"/>
      <c r="AB57" s="105"/>
      <c r="AC57" s="105"/>
      <c r="AD57" s="105"/>
      <c r="AE57" s="108">
        <v>1</v>
      </c>
      <c r="AF57" t="s" s="167">
        <v>71</v>
      </c>
      <c r="AG57" t="s" s="167">
        <v>796</v>
      </c>
      <c r="AH57" s="181"/>
      <c r="AI57" s="115"/>
      <c r="AJ57" s="17"/>
      <c r="AK57" s="17"/>
      <c r="AL57" s="17"/>
      <c r="AM57" s="17"/>
      <c r="AN57" s="17"/>
      <c r="AO57" s="17"/>
      <c r="AP57" s="17"/>
      <c r="AQ57" s="17"/>
      <c r="AR57" s="17"/>
      <c r="AS57" s="17"/>
    </row>
    <row r="58" ht="17" customHeight="1">
      <c r="A58" t="s" s="167">
        <v>788</v>
      </c>
      <c r="B58" t="s" s="167">
        <v>789</v>
      </c>
      <c r="C58" s="108">
        <v>21</v>
      </c>
      <c r="D58" t="s" s="167">
        <v>667</v>
      </c>
      <c r="E58" s="105"/>
      <c r="F58" s="108">
        <v>414</v>
      </c>
      <c r="G58" t="s" s="167">
        <v>797</v>
      </c>
      <c r="H58" t="s" s="167">
        <v>798</v>
      </c>
      <c r="I58" s="108">
        <v>1</v>
      </c>
      <c r="J58" s="105"/>
      <c r="K58" s="105"/>
      <c r="L58" s="105"/>
      <c r="M58" s="105"/>
      <c r="N58" s="105"/>
      <c r="O58" s="98"/>
      <c r="P58" s="98"/>
      <c r="Q58" s="98"/>
      <c r="R58" s="97">
        <v>1</v>
      </c>
      <c r="S58" s="108">
        <v>18</v>
      </c>
      <c r="T58" s="108">
        <v>1893</v>
      </c>
      <c r="U58" s="98"/>
      <c r="V58" s="177">
        <v>1</v>
      </c>
      <c r="W58" s="105"/>
      <c r="X58" s="105"/>
      <c r="Y58" t="s" s="167">
        <v>162</v>
      </c>
      <c r="Z58" t="s" s="167">
        <v>178</v>
      </c>
      <c r="AA58" s="108">
        <v>1</v>
      </c>
      <c r="AB58" s="105"/>
      <c r="AC58" s="108">
        <v>1</v>
      </c>
      <c r="AD58" s="108">
        <v>1</v>
      </c>
      <c r="AE58" s="105"/>
      <c r="AF58" t="s" s="167">
        <v>37</v>
      </c>
      <c r="AG58" t="s" s="167">
        <v>799</v>
      </c>
      <c r="AH58" s="181"/>
      <c r="AI58" s="115"/>
      <c r="AJ58" s="17"/>
      <c r="AK58" s="17"/>
      <c r="AL58" s="17"/>
      <c r="AM58" s="17"/>
      <c r="AN58" s="17"/>
      <c r="AO58" s="17"/>
      <c r="AP58" s="17"/>
      <c r="AQ58" s="17"/>
      <c r="AR58" s="17"/>
      <c r="AS58" s="17"/>
    </row>
    <row r="59" ht="17" customHeight="1">
      <c r="A59" t="s" s="153">
        <v>788</v>
      </c>
      <c r="B59" t="s" s="167">
        <v>789</v>
      </c>
      <c r="C59" s="182">
        <v>21</v>
      </c>
      <c r="D59" t="s" s="153">
        <v>667</v>
      </c>
      <c r="E59" s="183"/>
      <c r="F59" s="182">
        <v>414</v>
      </c>
      <c r="G59" t="s" s="153">
        <v>800</v>
      </c>
      <c r="H59" t="s" s="153">
        <v>389</v>
      </c>
      <c r="I59" s="182">
        <v>1</v>
      </c>
      <c r="J59" s="183"/>
      <c r="K59" s="183"/>
      <c r="L59" s="183"/>
      <c r="M59" s="183"/>
      <c r="N59" s="183"/>
      <c r="O59" s="185"/>
      <c r="P59" s="185"/>
      <c r="Q59" s="185"/>
      <c r="R59" s="184">
        <v>1</v>
      </c>
      <c r="S59" s="182">
        <v>25</v>
      </c>
      <c r="T59" s="182">
        <v>1886</v>
      </c>
      <c r="U59" s="185"/>
      <c r="V59" s="186">
        <v>1</v>
      </c>
      <c r="W59" s="183"/>
      <c r="X59" s="183"/>
      <c r="Y59" t="s" s="153">
        <v>159</v>
      </c>
      <c r="Z59" t="s" s="153">
        <v>178</v>
      </c>
      <c r="AA59" s="182">
        <v>1</v>
      </c>
      <c r="AB59" s="183"/>
      <c r="AC59" s="182">
        <v>1</v>
      </c>
      <c r="AD59" s="183"/>
      <c r="AE59" s="182">
        <v>1</v>
      </c>
      <c r="AF59" t="s" s="153">
        <v>166</v>
      </c>
      <c r="AG59" t="s" s="153">
        <v>435</v>
      </c>
      <c r="AH59" s="187"/>
      <c r="AI59" s="188"/>
      <c r="AJ59" s="189"/>
      <c r="AK59" s="189"/>
      <c r="AL59" s="189"/>
      <c r="AM59" s="189"/>
      <c r="AN59" s="189"/>
      <c r="AO59" s="189"/>
      <c r="AP59" s="189"/>
      <c r="AQ59" s="189"/>
      <c r="AR59" s="189"/>
      <c r="AS59" s="189"/>
    </row>
    <row r="60" ht="17.5" customHeight="1">
      <c r="A60" t="s" s="168">
        <v>801</v>
      </c>
      <c r="B60" s="105"/>
      <c r="C60" s="169">
        <v>19</v>
      </c>
      <c r="D60" t="s" s="168">
        <v>667</v>
      </c>
      <c r="E60" s="170"/>
      <c r="F60" s="169">
        <v>413</v>
      </c>
      <c r="G60" t="s" s="168">
        <v>802</v>
      </c>
      <c r="H60" t="s" s="168">
        <v>803</v>
      </c>
      <c r="I60" s="169">
        <v>1</v>
      </c>
      <c r="J60" s="170"/>
      <c r="K60" s="170"/>
      <c r="L60" s="170"/>
      <c r="M60" s="212">
        <v>1</v>
      </c>
      <c r="N60" s="170"/>
      <c r="O60" s="172"/>
      <c r="P60" s="172"/>
      <c r="Q60" s="172"/>
      <c r="R60" s="172"/>
      <c r="S60" s="169">
        <v>84</v>
      </c>
      <c r="T60" s="169">
        <v>1827</v>
      </c>
      <c r="U60" s="172"/>
      <c r="V60" s="172"/>
      <c r="W60" s="215">
        <v>1</v>
      </c>
      <c r="X60" s="170"/>
      <c r="Y60" s="170"/>
      <c r="Z60" s="170"/>
      <c r="AA60" s="170"/>
      <c r="AB60" s="170"/>
      <c r="AC60" s="170"/>
      <c r="AD60" s="169">
        <v>1</v>
      </c>
      <c r="AE60" s="170"/>
      <c r="AF60" t="s" s="168">
        <v>37</v>
      </c>
      <c r="AG60" t="s" s="168">
        <v>671</v>
      </c>
      <c r="AH60" s="193"/>
      <c r="AI60" s="194"/>
      <c r="AJ60" s="195"/>
      <c r="AK60" s="195"/>
      <c r="AL60" s="195"/>
      <c r="AM60" s="195"/>
      <c r="AN60" s="195"/>
      <c r="AO60" s="195"/>
      <c r="AP60" s="195"/>
      <c r="AQ60" s="195"/>
      <c r="AR60" s="195"/>
      <c r="AS60" s="195"/>
    </row>
    <row r="61" ht="17" customHeight="1">
      <c r="A61" t="s" s="167">
        <v>801</v>
      </c>
      <c r="B61" s="105"/>
      <c r="C61" s="108">
        <v>19</v>
      </c>
      <c r="D61" t="s" s="167">
        <v>667</v>
      </c>
      <c r="E61" s="105"/>
      <c r="F61" s="108">
        <v>413</v>
      </c>
      <c r="G61" t="s" s="167">
        <v>804</v>
      </c>
      <c r="H61" t="s" s="167">
        <v>326</v>
      </c>
      <c r="I61" s="108">
        <v>1</v>
      </c>
      <c r="J61" s="105"/>
      <c r="K61" s="105"/>
      <c r="L61" s="105"/>
      <c r="M61" s="105"/>
      <c r="N61" s="105"/>
      <c r="O61" s="98"/>
      <c r="P61" s="98"/>
      <c r="Q61" s="98"/>
      <c r="R61" s="97">
        <v>1</v>
      </c>
      <c r="S61" s="108">
        <v>38</v>
      </c>
      <c r="T61" s="108">
        <v>1873</v>
      </c>
      <c r="U61" s="98"/>
      <c r="V61" s="177">
        <v>1</v>
      </c>
      <c r="W61" s="105"/>
      <c r="X61" s="105"/>
      <c r="Y61" t="s" s="167">
        <v>805</v>
      </c>
      <c r="Z61" t="s" s="167">
        <v>178</v>
      </c>
      <c r="AA61" s="108">
        <v>1</v>
      </c>
      <c r="AB61" s="105"/>
      <c r="AC61" s="108">
        <v>1</v>
      </c>
      <c r="AD61" s="108">
        <v>1</v>
      </c>
      <c r="AE61" s="105"/>
      <c r="AF61" t="s" s="167">
        <v>37</v>
      </c>
      <c r="AG61" t="s" s="167">
        <v>671</v>
      </c>
      <c r="AH61" s="181"/>
      <c r="AI61" s="115"/>
      <c r="AJ61" s="17"/>
      <c r="AK61" s="17"/>
      <c r="AL61" s="17"/>
      <c r="AM61" s="17"/>
      <c r="AN61" s="17"/>
      <c r="AO61" s="17"/>
      <c r="AP61" s="17"/>
      <c r="AQ61" s="17"/>
      <c r="AR61" s="17"/>
      <c r="AS61" s="17"/>
    </row>
    <row r="62" ht="17" customHeight="1">
      <c r="A62" t="s" s="153">
        <v>801</v>
      </c>
      <c r="B62" s="183"/>
      <c r="C62" s="182">
        <v>19</v>
      </c>
      <c r="D62" t="s" s="153">
        <v>667</v>
      </c>
      <c r="E62" s="183"/>
      <c r="F62" s="182">
        <v>413</v>
      </c>
      <c r="G62" t="s" s="153">
        <v>806</v>
      </c>
      <c r="H62" t="s" s="153">
        <v>807</v>
      </c>
      <c r="I62" s="182">
        <v>1</v>
      </c>
      <c r="J62" s="183"/>
      <c r="K62" s="183"/>
      <c r="L62" s="183"/>
      <c r="M62" s="183"/>
      <c r="N62" s="183"/>
      <c r="O62" s="185"/>
      <c r="P62" s="185"/>
      <c r="Q62" s="185"/>
      <c r="R62" s="184">
        <v>1</v>
      </c>
      <c r="S62" s="182">
        <v>23</v>
      </c>
      <c r="T62" s="182">
        <v>1888</v>
      </c>
      <c r="U62" s="185"/>
      <c r="V62" s="186">
        <v>1</v>
      </c>
      <c r="W62" s="183"/>
      <c r="X62" s="183"/>
      <c r="Y62" t="s" s="153">
        <v>162</v>
      </c>
      <c r="Z62" t="s" s="153">
        <v>178</v>
      </c>
      <c r="AA62" s="182">
        <v>1</v>
      </c>
      <c r="AB62" s="183"/>
      <c r="AC62" s="182">
        <v>1</v>
      </c>
      <c r="AD62" s="183"/>
      <c r="AE62" s="182">
        <v>1</v>
      </c>
      <c r="AF62" t="s" s="153">
        <v>166</v>
      </c>
      <c r="AG62" t="s" s="153">
        <v>808</v>
      </c>
      <c r="AH62" s="187"/>
      <c r="AI62" s="188"/>
      <c r="AJ62" s="189"/>
      <c r="AK62" s="189"/>
      <c r="AL62" s="189"/>
      <c r="AM62" s="189"/>
      <c r="AN62" s="189"/>
      <c r="AO62" s="189"/>
      <c r="AP62" s="189"/>
      <c r="AQ62" s="189"/>
      <c r="AR62" s="189"/>
      <c r="AS62" s="189"/>
    </row>
    <row r="63" ht="17.5" customHeight="1">
      <c r="A63" t="s" s="168">
        <v>809</v>
      </c>
      <c r="B63" s="170"/>
      <c r="C63" s="169">
        <v>6</v>
      </c>
      <c r="D63" t="s" s="168">
        <v>667</v>
      </c>
      <c r="E63" s="204">
        <v>21</v>
      </c>
      <c r="F63" s="169">
        <v>415</v>
      </c>
      <c r="G63" t="s" s="168">
        <v>810</v>
      </c>
      <c r="H63" t="s" s="168">
        <v>811</v>
      </c>
      <c r="I63" s="170"/>
      <c r="J63" s="169">
        <v>1</v>
      </c>
      <c r="K63" s="170"/>
      <c r="L63" s="170"/>
      <c r="M63" s="169">
        <v>1</v>
      </c>
      <c r="N63" s="170"/>
      <c r="O63" s="172"/>
      <c r="P63" s="172"/>
      <c r="Q63" s="172"/>
      <c r="R63" s="172"/>
      <c r="S63" s="169">
        <v>50</v>
      </c>
      <c r="T63" s="169">
        <v>1861</v>
      </c>
      <c r="U63" s="173">
        <v>1</v>
      </c>
      <c r="V63" s="172"/>
      <c r="W63" s="170"/>
      <c r="X63" s="170"/>
      <c r="Y63" t="s" s="168">
        <v>812</v>
      </c>
      <c r="Z63" s="170"/>
      <c r="AA63" s="169">
        <v>1</v>
      </c>
      <c r="AB63" s="170"/>
      <c r="AC63" s="169">
        <v>1</v>
      </c>
      <c r="AD63" s="170"/>
      <c r="AE63" s="169">
        <v>1</v>
      </c>
      <c r="AF63" t="s" s="168">
        <v>71</v>
      </c>
      <c r="AG63" t="s" s="168">
        <v>813</v>
      </c>
      <c r="AH63" s="193"/>
      <c r="AI63" s="194"/>
      <c r="AJ63" s="195"/>
      <c r="AK63" s="195"/>
      <c r="AL63" s="195"/>
      <c r="AM63" s="195"/>
      <c r="AN63" s="195"/>
      <c r="AO63" s="195"/>
      <c r="AP63" s="195"/>
      <c r="AQ63" s="195"/>
      <c r="AR63" s="195"/>
      <c r="AS63" s="195"/>
    </row>
    <row r="64" ht="17" customHeight="1">
      <c r="A64" t="s" s="167">
        <v>809</v>
      </c>
      <c r="B64" s="105"/>
      <c r="C64" s="108">
        <v>6</v>
      </c>
      <c r="D64" t="s" s="167">
        <v>667</v>
      </c>
      <c r="E64" s="205">
        <v>21</v>
      </c>
      <c r="F64" s="108">
        <v>415</v>
      </c>
      <c r="G64" t="s" s="167">
        <v>810</v>
      </c>
      <c r="H64" t="s" s="167">
        <v>389</v>
      </c>
      <c r="I64" s="108">
        <v>1</v>
      </c>
      <c r="J64" s="105"/>
      <c r="K64" s="105"/>
      <c r="L64" s="105"/>
      <c r="M64" s="105"/>
      <c r="N64" s="108">
        <v>1</v>
      </c>
      <c r="O64" s="98"/>
      <c r="P64" s="98"/>
      <c r="Q64" s="98"/>
      <c r="R64" s="98"/>
      <c r="S64" s="108">
        <v>51</v>
      </c>
      <c r="T64" s="108">
        <v>1860</v>
      </c>
      <c r="U64" s="200">
        <v>1</v>
      </c>
      <c r="V64" s="98"/>
      <c r="W64" s="105"/>
      <c r="X64" s="108">
        <v>25</v>
      </c>
      <c r="Y64" s="105"/>
      <c r="Z64" s="105"/>
      <c r="AA64" s="105"/>
      <c r="AB64" s="105"/>
      <c r="AC64" s="105"/>
      <c r="AD64" s="105"/>
      <c r="AE64" s="108">
        <v>1</v>
      </c>
      <c r="AF64" t="s" s="167">
        <v>814</v>
      </c>
      <c r="AG64" t="s" s="167">
        <v>815</v>
      </c>
      <c r="AH64" s="181"/>
      <c r="AI64" s="115"/>
      <c r="AJ64" s="17"/>
      <c r="AK64" s="17"/>
      <c r="AL64" s="17"/>
      <c r="AM64" s="17"/>
      <c r="AN64" s="17"/>
      <c r="AO64" s="17"/>
      <c r="AP64" s="17"/>
      <c r="AQ64" s="17"/>
      <c r="AR64" s="17"/>
      <c r="AS64" s="17"/>
    </row>
    <row r="65" ht="17" customHeight="1">
      <c r="A65" t="s" s="167">
        <v>809</v>
      </c>
      <c r="B65" s="105"/>
      <c r="C65" s="108">
        <v>6</v>
      </c>
      <c r="D65" t="s" s="167">
        <v>667</v>
      </c>
      <c r="E65" s="205">
        <v>21</v>
      </c>
      <c r="F65" s="108">
        <v>415</v>
      </c>
      <c r="G65" t="s" s="167">
        <v>810</v>
      </c>
      <c r="H65" t="s" s="167">
        <v>816</v>
      </c>
      <c r="I65" s="108">
        <v>1</v>
      </c>
      <c r="J65" s="105"/>
      <c r="K65" s="105"/>
      <c r="L65" s="105"/>
      <c r="M65" s="105"/>
      <c r="N65" s="105"/>
      <c r="O65" s="97">
        <v>1</v>
      </c>
      <c r="P65" s="98"/>
      <c r="Q65" s="98"/>
      <c r="R65" s="98"/>
      <c r="S65" s="108">
        <v>24</v>
      </c>
      <c r="T65" s="108">
        <v>1887</v>
      </c>
      <c r="U65" s="98"/>
      <c r="V65" s="177">
        <v>1</v>
      </c>
      <c r="W65" s="105"/>
      <c r="X65" s="105"/>
      <c r="Y65" t="s" s="167">
        <v>817</v>
      </c>
      <c r="Z65" t="s" s="167">
        <v>418</v>
      </c>
      <c r="AA65" s="108">
        <v>1</v>
      </c>
      <c r="AB65" s="105"/>
      <c r="AC65" s="108">
        <v>1</v>
      </c>
      <c r="AD65" s="108">
        <v>1</v>
      </c>
      <c r="AE65" s="105"/>
      <c r="AF65" t="s" s="167">
        <v>37</v>
      </c>
      <c r="AG65" t="s" s="167">
        <v>673</v>
      </c>
      <c r="AH65" s="181"/>
      <c r="AI65" s="115"/>
      <c r="AJ65" s="17"/>
      <c r="AK65" s="17"/>
      <c r="AL65" s="17"/>
      <c r="AM65" s="17"/>
      <c r="AN65" s="17"/>
      <c r="AO65" s="17"/>
      <c r="AP65" s="17"/>
      <c r="AQ65" s="17"/>
      <c r="AR65" s="17"/>
      <c r="AS65" s="17"/>
    </row>
    <row r="66" ht="17" customHeight="1">
      <c r="A66" t="s" s="167">
        <v>809</v>
      </c>
      <c r="B66" s="105"/>
      <c r="C66" s="108">
        <v>6</v>
      </c>
      <c r="D66" t="s" s="167">
        <v>667</v>
      </c>
      <c r="E66" s="205">
        <v>21</v>
      </c>
      <c r="F66" s="108">
        <v>415</v>
      </c>
      <c r="G66" t="s" s="167">
        <v>810</v>
      </c>
      <c r="H66" t="s" s="167">
        <v>253</v>
      </c>
      <c r="I66" s="108">
        <v>1</v>
      </c>
      <c r="J66" s="105"/>
      <c r="K66" s="105"/>
      <c r="L66" s="105"/>
      <c r="M66" s="105"/>
      <c r="N66" s="105"/>
      <c r="O66" s="97">
        <v>1</v>
      </c>
      <c r="P66" s="98"/>
      <c r="Q66" s="98"/>
      <c r="R66" s="98"/>
      <c r="S66" s="108">
        <v>22</v>
      </c>
      <c r="T66" s="108">
        <v>1889</v>
      </c>
      <c r="U66" s="98"/>
      <c r="V66" s="177">
        <v>1</v>
      </c>
      <c r="W66" s="105"/>
      <c r="X66" s="105"/>
      <c r="Y66" t="s" s="167">
        <v>818</v>
      </c>
      <c r="Z66" t="s" s="167">
        <v>418</v>
      </c>
      <c r="AA66" s="108">
        <v>1</v>
      </c>
      <c r="AB66" s="105"/>
      <c r="AC66" s="108">
        <v>1</v>
      </c>
      <c r="AD66" s="108">
        <v>1</v>
      </c>
      <c r="AE66" s="105"/>
      <c r="AF66" t="s" s="167">
        <v>37</v>
      </c>
      <c r="AG66" t="s" s="167">
        <v>673</v>
      </c>
      <c r="AH66" s="181"/>
      <c r="AI66" s="115"/>
      <c r="AJ66" s="17"/>
      <c r="AK66" s="17"/>
      <c r="AL66" s="17"/>
      <c r="AM66" s="17"/>
      <c r="AN66" s="17"/>
      <c r="AO66" s="17"/>
      <c r="AP66" s="17"/>
      <c r="AQ66" s="17"/>
      <c r="AR66" s="17"/>
      <c r="AS66" s="17"/>
    </row>
    <row r="67" ht="17" customHeight="1">
      <c r="A67" t="s" s="167">
        <v>809</v>
      </c>
      <c r="B67" s="105"/>
      <c r="C67" s="108">
        <v>6</v>
      </c>
      <c r="D67" t="s" s="167">
        <v>667</v>
      </c>
      <c r="E67" s="205">
        <v>21</v>
      </c>
      <c r="F67" s="108">
        <v>415</v>
      </c>
      <c r="G67" t="s" s="167">
        <v>810</v>
      </c>
      <c r="H67" t="s" s="167">
        <v>266</v>
      </c>
      <c r="I67" s="108">
        <v>1</v>
      </c>
      <c r="J67" s="105"/>
      <c r="K67" s="105"/>
      <c r="L67" s="105"/>
      <c r="M67" s="105"/>
      <c r="N67" s="105"/>
      <c r="O67" s="97">
        <v>1</v>
      </c>
      <c r="P67" s="98"/>
      <c r="Q67" s="98"/>
      <c r="R67" s="98"/>
      <c r="S67" s="108">
        <v>18</v>
      </c>
      <c r="T67" s="108">
        <v>1893</v>
      </c>
      <c r="U67" s="98"/>
      <c r="V67" s="177">
        <v>1</v>
      </c>
      <c r="W67" s="105"/>
      <c r="X67" s="105"/>
      <c r="Y67" t="s" s="167">
        <v>819</v>
      </c>
      <c r="Z67" t="s" s="167">
        <v>418</v>
      </c>
      <c r="AA67" s="108">
        <v>1</v>
      </c>
      <c r="AB67" s="105"/>
      <c r="AC67" s="108">
        <v>1</v>
      </c>
      <c r="AD67" s="108">
        <v>1</v>
      </c>
      <c r="AE67" s="105"/>
      <c r="AF67" t="s" s="167">
        <v>37</v>
      </c>
      <c r="AG67" t="s" s="167">
        <v>673</v>
      </c>
      <c r="AH67" s="181"/>
      <c r="AI67" s="115"/>
      <c r="AJ67" s="17"/>
      <c r="AK67" s="17"/>
      <c r="AL67" s="17"/>
      <c r="AM67" s="17"/>
      <c r="AN67" s="17"/>
      <c r="AO67" s="17"/>
      <c r="AP67" s="17"/>
      <c r="AQ67" s="17"/>
      <c r="AR67" s="17"/>
      <c r="AS67" s="17"/>
    </row>
    <row r="68" ht="17" customHeight="1">
      <c r="A68" t="s" s="153">
        <v>809</v>
      </c>
      <c r="B68" s="183"/>
      <c r="C68" s="182">
        <v>6</v>
      </c>
      <c r="D68" t="s" s="153">
        <v>667</v>
      </c>
      <c r="E68" s="206">
        <v>21</v>
      </c>
      <c r="F68" s="182">
        <v>415</v>
      </c>
      <c r="G68" t="s" s="153">
        <v>810</v>
      </c>
      <c r="H68" t="s" s="153">
        <v>820</v>
      </c>
      <c r="I68" s="183"/>
      <c r="J68" s="183"/>
      <c r="K68" s="182">
        <v>1</v>
      </c>
      <c r="L68" s="183"/>
      <c r="M68" s="183"/>
      <c r="N68" s="183"/>
      <c r="O68" s="184">
        <v>1</v>
      </c>
      <c r="P68" s="185"/>
      <c r="Q68" s="185"/>
      <c r="R68" s="185"/>
      <c r="S68" s="207">
        <v>9</v>
      </c>
      <c r="T68" s="182">
        <v>1902</v>
      </c>
      <c r="U68" s="185"/>
      <c r="V68" s="186">
        <v>1</v>
      </c>
      <c r="W68" s="183"/>
      <c r="X68" s="183"/>
      <c r="Y68" t="s" s="153">
        <v>759</v>
      </c>
      <c r="Z68" s="183"/>
      <c r="AA68" s="183"/>
      <c r="AB68" s="183"/>
      <c r="AC68" s="183"/>
      <c r="AD68" s="182">
        <v>1</v>
      </c>
      <c r="AE68" s="183"/>
      <c r="AF68" t="s" s="153">
        <v>37</v>
      </c>
      <c r="AG68" t="s" s="153">
        <v>673</v>
      </c>
      <c r="AH68" s="187"/>
      <c r="AI68" s="188"/>
      <c r="AJ68" s="189"/>
      <c r="AK68" s="189"/>
      <c r="AL68" s="189"/>
      <c r="AM68" s="189"/>
      <c r="AN68" s="189"/>
      <c r="AO68" s="189"/>
      <c r="AP68" s="189"/>
      <c r="AQ68" s="189"/>
      <c r="AR68" s="189"/>
      <c r="AS68" s="189"/>
    </row>
    <row r="69" ht="17.5" customHeight="1">
      <c r="A69" t="s" s="168">
        <v>821</v>
      </c>
      <c r="B69" s="170"/>
      <c r="C69" s="169">
        <v>4</v>
      </c>
      <c r="D69" t="s" s="168">
        <v>667</v>
      </c>
      <c r="E69" s="204">
        <v>19</v>
      </c>
      <c r="F69" s="169">
        <v>415</v>
      </c>
      <c r="G69" t="s" s="168">
        <v>822</v>
      </c>
      <c r="H69" t="s" s="168">
        <v>78</v>
      </c>
      <c r="I69" s="170"/>
      <c r="J69" s="169">
        <v>1</v>
      </c>
      <c r="K69" s="170"/>
      <c r="L69" s="170"/>
      <c r="M69" s="169">
        <v>1</v>
      </c>
      <c r="N69" s="170"/>
      <c r="O69" s="172"/>
      <c r="P69" s="172"/>
      <c r="Q69" s="172"/>
      <c r="R69" s="172"/>
      <c r="S69" s="169">
        <v>61</v>
      </c>
      <c r="T69" s="169">
        <v>1850</v>
      </c>
      <c r="U69" s="173">
        <v>1</v>
      </c>
      <c r="V69" s="172"/>
      <c r="W69" s="170"/>
      <c r="X69" s="170"/>
      <c r="Y69" t="s" s="168">
        <v>770</v>
      </c>
      <c r="Z69" t="s" s="168">
        <v>178</v>
      </c>
      <c r="AA69" s="169">
        <v>1</v>
      </c>
      <c r="AB69" s="170"/>
      <c r="AC69" s="169">
        <v>1</v>
      </c>
      <c r="AD69" s="170"/>
      <c r="AE69" s="169">
        <v>1</v>
      </c>
      <c r="AF69" t="s" s="168">
        <v>166</v>
      </c>
      <c r="AG69" t="s" s="168">
        <v>823</v>
      </c>
      <c r="AH69" s="170"/>
      <c r="AI69" s="174"/>
      <c r="AJ69" s="175"/>
      <c r="AK69" s="175"/>
      <c r="AL69" s="175"/>
      <c r="AM69" s="175"/>
      <c r="AN69" s="175"/>
      <c r="AO69" s="175"/>
      <c r="AP69" s="175"/>
      <c r="AQ69" s="175"/>
      <c r="AR69" s="175"/>
      <c r="AS69" s="175"/>
    </row>
    <row r="70" ht="17" customHeight="1">
      <c r="A70" t="s" s="167">
        <v>821</v>
      </c>
      <c r="B70" s="105"/>
      <c r="C70" s="108">
        <v>4</v>
      </c>
      <c r="D70" t="s" s="167">
        <v>667</v>
      </c>
      <c r="E70" s="205">
        <v>19</v>
      </c>
      <c r="F70" s="108">
        <v>415</v>
      </c>
      <c r="G70" t="s" s="167">
        <v>822</v>
      </c>
      <c r="H70" t="s" s="167">
        <v>43</v>
      </c>
      <c r="I70" s="108">
        <v>1</v>
      </c>
      <c r="J70" s="105"/>
      <c r="K70" s="105"/>
      <c r="L70" s="105"/>
      <c r="M70" s="105"/>
      <c r="N70" s="108">
        <v>1</v>
      </c>
      <c r="O70" s="98"/>
      <c r="P70" s="98"/>
      <c r="Q70" s="98"/>
      <c r="R70" s="98"/>
      <c r="S70" s="108">
        <v>63</v>
      </c>
      <c r="T70" s="108">
        <v>1848</v>
      </c>
      <c r="U70" s="200">
        <v>1</v>
      </c>
      <c r="V70" s="98"/>
      <c r="W70" s="105"/>
      <c r="X70" s="108">
        <v>38</v>
      </c>
      <c r="Y70" s="105"/>
      <c r="Z70" s="105"/>
      <c r="AA70" s="105"/>
      <c r="AB70" s="105"/>
      <c r="AC70" s="105"/>
      <c r="AD70" s="105"/>
      <c r="AE70" s="108">
        <v>1</v>
      </c>
      <c r="AF70" t="s" s="167">
        <v>71</v>
      </c>
      <c r="AG70" t="s" s="167">
        <v>824</v>
      </c>
      <c r="AH70" s="105"/>
      <c r="AI70" s="216"/>
      <c r="AJ70" s="217"/>
      <c r="AK70" s="217"/>
      <c r="AL70" s="217"/>
      <c r="AM70" s="217"/>
      <c r="AN70" s="217"/>
      <c r="AO70" s="217"/>
      <c r="AP70" s="217"/>
      <c r="AQ70" s="217"/>
      <c r="AR70" s="217"/>
      <c r="AS70" s="217"/>
    </row>
    <row r="71" ht="17" customHeight="1">
      <c r="A71" t="s" s="167">
        <v>821</v>
      </c>
      <c r="B71" s="105"/>
      <c r="C71" s="108">
        <v>4</v>
      </c>
      <c r="D71" t="s" s="167">
        <v>667</v>
      </c>
      <c r="E71" s="205">
        <v>19</v>
      </c>
      <c r="F71" s="108">
        <v>415</v>
      </c>
      <c r="G71" t="s" s="167">
        <v>822</v>
      </c>
      <c r="H71" t="s" s="167">
        <v>825</v>
      </c>
      <c r="I71" s="108">
        <v>1</v>
      </c>
      <c r="J71" s="105"/>
      <c r="K71" s="105"/>
      <c r="L71" s="105"/>
      <c r="M71" s="105"/>
      <c r="N71" s="105"/>
      <c r="O71" s="97">
        <v>1</v>
      </c>
      <c r="P71" s="98"/>
      <c r="Q71" s="98"/>
      <c r="R71" s="98"/>
      <c r="S71" s="108">
        <v>21</v>
      </c>
      <c r="T71" s="108">
        <v>1890</v>
      </c>
      <c r="U71" s="98"/>
      <c r="V71" s="177">
        <v>1</v>
      </c>
      <c r="W71" s="105"/>
      <c r="X71" s="105"/>
      <c r="Y71" t="s" s="167">
        <v>826</v>
      </c>
      <c r="Z71" t="s" s="167">
        <v>826</v>
      </c>
      <c r="AA71" s="108">
        <v>1</v>
      </c>
      <c r="AB71" s="105"/>
      <c r="AC71" s="108">
        <v>1</v>
      </c>
      <c r="AD71" s="108">
        <v>1</v>
      </c>
      <c r="AE71" s="105"/>
      <c r="AF71" t="s" s="167">
        <v>37</v>
      </c>
      <c r="AG71" t="s" s="167">
        <v>671</v>
      </c>
      <c r="AH71" s="105"/>
      <c r="AI71" s="216"/>
      <c r="AJ71" s="217"/>
      <c r="AK71" s="217"/>
      <c r="AL71" s="217"/>
      <c r="AM71" s="217"/>
      <c r="AN71" s="217"/>
      <c r="AO71" s="217"/>
      <c r="AP71" s="217"/>
      <c r="AQ71" s="217"/>
      <c r="AR71" s="217"/>
      <c r="AS71" s="217"/>
    </row>
    <row r="72" ht="17" customHeight="1">
      <c r="A72" t="s" s="153">
        <v>821</v>
      </c>
      <c r="B72" s="183"/>
      <c r="C72" s="182">
        <v>4</v>
      </c>
      <c r="D72" t="s" s="153">
        <v>667</v>
      </c>
      <c r="E72" s="206">
        <v>19</v>
      </c>
      <c r="F72" s="182">
        <v>415</v>
      </c>
      <c r="G72" t="s" s="153">
        <v>822</v>
      </c>
      <c r="H72" t="s" s="153">
        <v>78</v>
      </c>
      <c r="I72" s="183"/>
      <c r="J72" s="182">
        <v>1</v>
      </c>
      <c r="K72" s="183"/>
      <c r="L72" s="183"/>
      <c r="M72" s="183"/>
      <c r="N72" s="183"/>
      <c r="O72" s="185"/>
      <c r="P72" s="184">
        <v>1</v>
      </c>
      <c r="Q72" s="185"/>
      <c r="R72" s="185"/>
      <c r="S72" s="182">
        <v>19</v>
      </c>
      <c r="T72" s="182">
        <v>1892</v>
      </c>
      <c r="U72" s="185"/>
      <c r="V72" s="184">
        <v>1</v>
      </c>
      <c r="W72" s="183"/>
      <c r="X72" s="183"/>
      <c r="Y72" t="s" s="153">
        <v>79</v>
      </c>
      <c r="Z72" t="s" s="153">
        <v>79</v>
      </c>
      <c r="AA72" s="182">
        <v>1</v>
      </c>
      <c r="AB72" s="183"/>
      <c r="AC72" s="182">
        <v>1</v>
      </c>
      <c r="AD72" s="182">
        <v>1</v>
      </c>
      <c r="AE72" s="183"/>
      <c r="AF72" t="s" s="153">
        <v>37</v>
      </c>
      <c r="AG72" t="s" s="153">
        <v>671</v>
      </c>
      <c r="AH72" s="183"/>
      <c r="AI72" s="218"/>
      <c r="AJ72" s="219"/>
      <c r="AK72" s="219"/>
      <c r="AL72" s="219"/>
      <c r="AM72" s="219"/>
      <c r="AN72" s="219"/>
      <c r="AO72" s="219"/>
      <c r="AP72" s="219"/>
      <c r="AQ72" s="219"/>
      <c r="AR72" s="219"/>
      <c r="AS72" s="219"/>
    </row>
    <row r="73" ht="17.5" customHeight="1">
      <c r="A73" t="s" s="168">
        <v>827</v>
      </c>
      <c r="B73" s="170"/>
      <c r="C73" s="169">
        <v>2</v>
      </c>
      <c r="D73" t="s" s="168">
        <v>667</v>
      </c>
      <c r="E73" s="204">
        <v>17</v>
      </c>
      <c r="F73" s="169">
        <v>411</v>
      </c>
      <c r="G73" t="s" s="168">
        <v>828</v>
      </c>
      <c r="H73" t="s" s="168">
        <v>534</v>
      </c>
      <c r="I73" s="170"/>
      <c r="J73" s="169">
        <v>1</v>
      </c>
      <c r="K73" s="170"/>
      <c r="L73" s="170"/>
      <c r="M73" s="169">
        <v>1</v>
      </c>
      <c r="N73" s="170"/>
      <c r="O73" s="172"/>
      <c r="P73" s="172"/>
      <c r="Q73" s="172"/>
      <c r="R73" s="172"/>
      <c r="S73" s="169">
        <v>57</v>
      </c>
      <c r="T73" s="169">
        <v>1854</v>
      </c>
      <c r="U73" s="172"/>
      <c r="V73" s="172"/>
      <c r="W73" s="169">
        <v>1</v>
      </c>
      <c r="X73" s="170"/>
      <c r="Y73" t="s" s="168">
        <v>770</v>
      </c>
      <c r="Z73" t="s" s="168">
        <v>711</v>
      </c>
      <c r="AA73" s="169">
        <v>1</v>
      </c>
      <c r="AB73" s="170"/>
      <c r="AC73" s="169">
        <v>1</v>
      </c>
      <c r="AD73" s="169">
        <v>1</v>
      </c>
      <c r="AE73" s="170"/>
      <c r="AF73" t="s" s="168">
        <v>37</v>
      </c>
      <c r="AG73" t="s" s="168">
        <v>671</v>
      </c>
      <c r="AH73" s="170"/>
      <c r="AI73" s="174"/>
      <c r="AJ73" s="175"/>
      <c r="AK73" s="175"/>
      <c r="AL73" s="175"/>
      <c r="AM73" s="175"/>
      <c r="AN73" s="175"/>
      <c r="AO73" s="175"/>
      <c r="AP73" s="175"/>
      <c r="AQ73" s="175"/>
      <c r="AR73" s="175"/>
      <c r="AS73" s="175"/>
    </row>
    <row r="74" ht="17" customHeight="1">
      <c r="A74" t="s" s="167">
        <v>827</v>
      </c>
      <c r="B74" s="105"/>
      <c r="C74" s="108">
        <v>2</v>
      </c>
      <c r="D74" t="s" s="167">
        <v>667</v>
      </c>
      <c r="E74" s="205">
        <v>17</v>
      </c>
      <c r="F74" s="108">
        <v>411</v>
      </c>
      <c r="G74" t="s" s="167">
        <v>828</v>
      </c>
      <c r="H74" t="s" s="167">
        <v>51</v>
      </c>
      <c r="I74" s="105"/>
      <c r="J74" s="108">
        <v>1</v>
      </c>
      <c r="K74" s="105"/>
      <c r="L74" s="105"/>
      <c r="M74" s="105"/>
      <c r="N74" s="105"/>
      <c r="O74" s="97">
        <v>1</v>
      </c>
      <c r="P74" s="98"/>
      <c r="Q74" s="98"/>
      <c r="R74" s="98"/>
      <c r="S74" s="108">
        <v>20</v>
      </c>
      <c r="T74" s="108">
        <v>1891</v>
      </c>
      <c r="U74" s="98"/>
      <c r="V74" s="97">
        <v>1</v>
      </c>
      <c r="W74" s="105"/>
      <c r="X74" s="105"/>
      <c r="Y74" t="s" s="167">
        <v>829</v>
      </c>
      <c r="Z74" t="s" s="167">
        <v>418</v>
      </c>
      <c r="AA74" s="108">
        <v>1</v>
      </c>
      <c r="AB74" s="105"/>
      <c r="AC74" s="108">
        <v>1</v>
      </c>
      <c r="AD74" s="108">
        <v>1</v>
      </c>
      <c r="AE74" s="105"/>
      <c r="AF74" t="s" s="167">
        <v>37</v>
      </c>
      <c r="AG74" t="s" s="167">
        <v>671</v>
      </c>
      <c r="AH74" s="105"/>
      <c r="AI74" s="216"/>
      <c r="AJ74" s="217"/>
      <c r="AK74" s="217"/>
      <c r="AL74" s="217"/>
      <c r="AM74" s="217"/>
      <c r="AN74" s="217"/>
      <c r="AO74" s="217"/>
      <c r="AP74" s="217"/>
      <c r="AQ74" s="217"/>
      <c r="AR74" s="217"/>
      <c r="AS74" s="217"/>
    </row>
    <row r="75" ht="17" customHeight="1">
      <c r="A75" t="s" s="153">
        <v>827</v>
      </c>
      <c r="B75" s="183"/>
      <c r="C75" s="182">
        <v>2</v>
      </c>
      <c r="D75" t="s" s="153">
        <v>667</v>
      </c>
      <c r="E75" s="206">
        <v>17</v>
      </c>
      <c r="F75" s="182">
        <v>411</v>
      </c>
      <c r="G75" t="s" s="153">
        <v>828</v>
      </c>
      <c r="H75" t="s" s="153">
        <v>492</v>
      </c>
      <c r="I75" s="183"/>
      <c r="J75" s="182">
        <v>1</v>
      </c>
      <c r="K75" s="183"/>
      <c r="L75" s="183"/>
      <c r="M75" s="183"/>
      <c r="N75" s="183"/>
      <c r="O75" s="184">
        <v>1</v>
      </c>
      <c r="P75" s="185"/>
      <c r="Q75" s="185"/>
      <c r="R75" s="185"/>
      <c r="S75" s="182">
        <v>19</v>
      </c>
      <c r="T75" s="182">
        <v>1892</v>
      </c>
      <c r="U75" s="185"/>
      <c r="V75" s="184">
        <v>1</v>
      </c>
      <c r="W75" s="183"/>
      <c r="X75" s="183"/>
      <c r="Y75" t="s" s="153">
        <v>830</v>
      </c>
      <c r="Z75" t="s" s="153">
        <v>711</v>
      </c>
      <c r="AA75" s="182">
        <v>1</v>
      </c>
      <c r="AB75" s="183"/>
      <c r="AC75" s="182">
        <v>1</v>
      </c>
      <c r="AD75" s="182">
        <v>1</v>
      </c>
      <c r="AE75" s="183"/>
      <c r="AF75" t="s" s="153">
        <v>37</v>
      </c>
      <c r="AG75" t="s" s="153">
        <v>671</v>
      </c>
      <c r="AH75" s="183"/>
      <c r="AI75" s="218"/>
      <c r="AJ75" s="219"/>
      <c r="AK75" s="219"/>
      <c r="AL75" s="219"/>
      <c r="AM75" s="219"/>
      <c r="AN75" s="219"/>
      <c r="AO75" s="219"/>
      <c r="AP75" s="219"/>
      <c r="AQ75" s="219"/>
      <c r="AR75" s="219"/>
      <c r="AS75" s="219"/>
    </row>
    <row r="76" ht="17" customHeight="1">
      <c r="A76" t="s" s="220">
        <v>831</v>
      </c>
      <c r="B76" t="s" s="208">
        <v>832</v>
      </c>
      <c r="C76" s="221">
        <v>17</v>
      </c>
      <c r="D76" t="s" s="208">
        <v>667</v>
      </c>
      <c r="E76" s="157"/>
      <c r="F76" s="157"/>
      <c r="G76" t="s" s="208">
        <v>833</v>
      </c>
      <c r="H76" s="157"/>
      <c r="I76" s="157"/>
      <c r="J76" s="157"/>
      <c r="K76" s="157"/>
      <c r="L76" s="157"/>
      <c r="M76" s="157"/>
      <c r="N76" s="157"/>
      <c r="O76" s="222"/>
      <c r="P76" s="222"/>
      <c r="Q76" s="222"/>
      <c r="R76" s="222"/>
      <c r="S76" s="157"/>
      <c r="T76" s="157"/>
      <c r="U76" s="222"/>
      <c r="V76" s="222"/>
      <c r="W76" s="157"/>
      <c r="X76" s="157"/>
      <c r="Y76" s="157"/>
      <c r="Z76" s="157"/>
      <c r="AA76" s="157"/>
      <c r="AB76" s="157"/>
      <c r="AC76" s="157"/>
      <c r="AD76" s="157"/>
      <c r="AE76" s="157"/>
      <c r="AF76" s="157"/>
      <c r="AG76" s="157"/>
      <c r="AH76" s="157"/>
      <c r="AI76" s="223"/>
      <c r="AJ76" s="224"/>
      <c r="AK76" s="224"/>
      <c r="AL76" s="224"/>
      <c r="AM76" s="224"/>
      <c r="AN76" s="224"/>
      <c r="AO76" s="224"/>
      <c r="AP76" s="224"/>
      <c r="AQ76" s="224"/>
      <c r="AR76" s="224"/>
      <c r="AS76" s="225"/>
    </row>
    <row r="77" ht="17.5" customHeight="1">
      <c r="A77" t="s" s="168">
        <v>834</v>
      </c>
      <c r="B77" s="170"/>
      <c r="C77" s="169">
        <v>15</v>
      </c>
      <c r="D77" t="s" s="168">
        <v>667</v>
      </c>
      <c r="E77" s="170"/>
      <c r="F77" s="169">
        <v>408</v>
      </c>
      <c r="G77" t="s" s="168">
        <v>835</v>
      </c>
      <c r="H77" t="s" s="168">
        <v>836</v>
      </c>
      <c r="I77" s="170"/>
      <c r="J77" s="169">
        <v>1</v>
      </c>
      <c r="K77" s="170"/>
      <c r="L77" s="170"/>
      <c r="M77" s="169">
        <v>1</v>
      </c>
      <c r="N77" s="170"/>
      <c r="O77" s="172"/>
      <c r="P77" s="172"/>
      <c r="Q77" s="172"/>
      <c r="R77" s="172"/>
      <c r="S77" s="169">
        <v>27</v>
      </c>
      <c r="T77" s="169">
        <v>1884</v>
      </c>
      <c r="U77" s="173">
        <v>1</v>
      </c>
      <c r="V77" s="172"/>
      <c r="W77" s="170"/>
      <c r="X77" s="170"/>
      <c r="Y77" t="s" s="168">
        <v>837</v>
      </c>
      <c r="Z77" t="s" s="168">
        <v>793</v>
      </c>
      <c r="AA77" s="169">
        <v>1</v>
      </c>
      <c r="AB77" s="169">
        <v>1</v>
      </c>
      <c r="AC77" s="170"/>
      <c r="AD77" s="170"/>
      <c r="AE77" s="169">
        <v>1</v>
      </c>
      <c r="AF77" t="s" s="168">
        <v>838</v>
      </c>
      <c r="AG77" t="s" s="168">
        <v>146</v>
      </c>
      <c r="AH77" s="170"/>
      <c r="AI77" s="174"/>
      <c r="AJ77" s="175"/>
      <c r="AK77" s="175"/>
      <c r="AL77" s="175"/>
      <c r="AM77" s="175"/>
      <c r="AN77" s="175"/>
      <c r="AO77" s="175"/>
      <c r="AP77" s="175"/>
      <c r="AQ77" s="175"/>
      <c r="AR77" s="175"/>
      <c r="AS77" s="175"/>
    </row>
    <row r="78" ht="17" customHeight="1">
      <c r="A78" t="s" s="167">
        <v>834</v>
      </c>
      <c r="B78" s="105"/>
      <c r="C78" s="108">
        <v>15</v>
      </c>
      <c r="D78" t="s" s="167">
        <v>667</v>
      </c>
      <c r="E78" s="105"/>
      <c r="F78" s="108">
        <v>408</v>
      </c>
      <c r="G78" t="s" s="167">
        <v>835</v>
      </c>
      <c r="H78" t="s" s="167">
        <v>839</v>
      </c>
      <c r="I78" s="108">
        <v>1</v>
      </c>
      <c r="J78" s="105"/>
      <c r="K78" s="105"/>
      <c r="L78" s="105"/>
      <c r="M78" s="105"/>
      <c r="N78" s="108">
        <v>1</v>
      </c>
      <c r="O78" s="98"/>
      <c r="P78" s="98"/>
      <c r="Q78" s="98"/>
      <c r="R78" s="98"/>
      <c r="S78" s="108">
        <v>26</v>
      </c>
      <c r="T78" s="108">
        <v>1885</v>
      </c>
      <c r="U78" s="200">
        <v>1</v>
      </c>
      <c r="V78" s="98"/>
      <c r="W78" s="105"/>
      <c r="X78" s="108">
        <v>4</v>
      </c>
      <c r="Y78" t="s" s="167">
        <v>840</v>
      </c>
      <c r="Z78" t="s" s="167">
        <v>841</v>
      </c>
      <c r="AA78" s="108">
        <v>1</v>
      </c>
      <c r="AB78" s="105"/>
      <c r="AC78" s="105"/>
      <c r="AD78" s="105"/>
      <c r="AE78" s="108">
        <v>1</v>
      </c>
      <c r="AF78" t="s" s="167">
        <v>721</v>
      </c>
      <c r="AG78" t="s" s="167">
        <v>146</v>
      </c>
      <c r="AH78" s="105"/>
      <c r="AI78" s="216"/>
      <c r="AJ78" s="217"/>
      <c r="AK78" s="217"/>
      <c r="AL78" s="217"/>
      <c r="AM78" s="217"/>
      <c r="AN78" s="217"/>
      <c r="AO78" s="217"/>
      <c r="AP78" s="217"/>
      <c r="AQ78" s="217"/>
      <c r="AR78" s="217"/>
      <c r="AS78" s="217"/>
    </row>
    <row r="79" ht="17" customHeight="1">
      <c r="A79" t="s" s="167">
        <v>834</v>
      </c>
      <c r="B79" s="105"/>
      <c r="C79" s="108">
        <v>15</v>
      </c>
      <c r="D79" t="s" s="167">
        <v>667</v>
      </c>
      <c r="E79" s="105"/>
      <c r="F79" s="108">
        <v>408</v>
      </c>
      <c r="G79" t="s" s="167">
        <v>835</v>
      </c>
      <c r="H79" t="s" s="167">
        <v>842</v>
      </c>
      <c r="I79" s="105"/>
      <c r="J79" s="105"/>
      <c r="K79" s="108">
        <v>1</v>
      </c>
      <c r="L79" s="105"/>
      <c r="M79" s="105"/>
      <c r="N79" s="105"/>
      <c r="O79" s="97">
        <v>1</v>
      </c>
      <c r="P79" s="98"/>
      <c r="Q79" s="98"/>
      <c r="R79" s="98"/>
      <c r="S79" s="211">
        <v>3</v>
      </c>
      <c r="T79" s="108">
        <v>1908</v>
      </c>
      <c r="U79" s="98"/>
      <c r="V79" s="177">
        <v>1</v>
      </c>
      <c r="W79" s="105"/>
      <c r="X79" s="105"/>
      <c r="Y79" s="105"/>
      <c r="Z79" s="105"/>
      <c r="AA79" s="105"/>
      <c r="AB79" s="105"/>
      <c r="AC79" s="105"/>
      <c r="AD79" s="105"/>
      <c r="AE79" s="108">
        <v>1</v>
      </c>
      <c r="AF79" t="s" s="167">
        <v>843</v>
      </c>
      <c r="AG79" t="s" s="167">
        <v>844</v>
      </c>
      <c r="AH79" s="105"/>
      <c r="AI79" s="216"/>
      <c r="AJ79" s="217"/>
      <c r="AK79" s="217"/>
      <c r="AL79" s="217"/>
      <c r="AM79" s="217"/>
      <c r="AN79" s="217"/>
      <c r="AO79" s="217"/>
      <c r="AP79" s="217"/>
      <c r="AQ79" s="217"/>
      <c r="AR79" s="217"/>
      <c r="AS79" s="217"/>
    </row>
    <row r="80" ht="17" customHeight="1">
      <c r="A80" t="s" s="167">
        <v>834</v>
      </c>
      <c r="B80" s="105"/>
      <c r="C80" s="108">
        <v>15</v>
      </c>
      <c r="D80" t="s" s="167">
        <v>667</v>
      </c>
      <c r="E80" s="105"/>
      <c r="F80" s="108">
        <v>408</v>
      </c>
      <c r="G80" t="s" s="167">
        <v>845</v>
      </c>
      <c r="H80" t="s" s="167">
        <v>846</v>
      </c>
      <c r="I80" s="108">
        <v>1</v>
      </c>
      <c r="J80" s="105"/>
      <c r="K80" s="105"/>
      <c r="L80" s="105"/>
      <c r="M80" s="105"/>
      <c r="N80" s="105"/>
      <c r="O80" s="98"/>
      <c r="P80" s="98"/>
      <c r="Q80" s="98"/>
      <c r="R80" s="97">
        <v>1</v>
      </c>
      <c r="S80" s="108">
        <v>22</v>
      </c>
      <c r="T80" s="108">
        <v>1889</v>
      </c>
      <c r="U80" s="98"/>
      <c r="V80" s="177">
        <v>1</v>
      </c>
      <c r="W80" s="105"/>
      <c r="X80" s="105"/>
      <c r="Y80" t="s" s="167">
        <v>159</v>
      </c>
      <c r="Z80" t="s" s="167">
        <v>178</v>
      </c>
      <c r="AA80" s="108">
        <v>1</v>
      </c>
      <c r="AB80" s="105"/>
      <c r="AC80" s="108">
        <v>1</v>
      </c>
      <c r="AD80" s="105"/>
      <c r="AE80" s="108">
        <v>1</v>
      </c>
      <c r="AF80" t="s" s="167">
        <v>730</v>
      </c>
      <c r="AG80" t="s" s="167">
        <v>731</v>
      </c>
      <c r="AH80" s="105"/>
      <c r="AI80" s="216"/>
      <c r="AJ80" s="217"/>
      <c r="AK80" s="217"/>
      <c r="AL80" s="217"/>
      <c r="AM80" s="217"/>
      <c r="AN80" s="217"/>
      <c r="AO80" s="217"/>
      <c r="AP80" s="217"/>
      <c r="AQ80" s="217"/>
      <c r="AR80" s="217"/>
      <c r="AS80" s="217"/>
    </row>
    <row r="81" ht="17" customHeight="1">
      <c r="A81" t="s" s="153">
        <v>834</v>
      </c>
      <c r="B81" s="183"/>
      <c r="C81" s="182">
        <v>15</v>
      </c>
      <c r="D81" t="s" s="153">
        <v>667</v>
      </c>
      <c r="E81" s="183"/>
      <c r="F81" s="182">
        <v>408</v>
      </c>
      <c r="G81" t="s" s="153">
        <v>847</v>
      </c>
      <c r="H81" t="s" s="153">
        <v>848</v>
      </c>
      <c r="I81" s="182">
        <v>1</v>
      </c>
      <c r="J81" s="183"/>
      <c r="K81" s="183"/>
      <c r="L81" s="183"/>
      <c r="M81" s="183"/>
      <c r="N81" s="183"/>
      <c r="O81" s="185"/>
      <c r="P81" s="185"/>
      <c r="Q81" s="185"/>
      <c r="R81" s="184">
        <v>1</v>
      </c>
      <c r="S81" s="182">
        <v>17</v>
      </c>
      <c r="T81" s="182">
        <v>1894</v>
      </c>
      <c r="U81" s="185"/>
      <c r="V81" s="186">
        <v>1</v>
      </c>
      <c r="W81" s="183"/>
      <c r="X81" s="183"/>
      <c r="Y81" t="s" s="153">
        <v>576</v>
      </c>
      <c r="Z81" t="s" s="153">
        <v>849</v>
      </c>
      <c r="AA81" s="182">
        <v>1</v>
      </c>
      <c r="AB81" s="183"/>
      <c r="AC81" s="182">
        <v>1</v>
      </c>
      <c r="AD81" s="183"/>
      <c r="AE81" s="182">
        <v>1</v>
      </c>
      <c r="AF81" t="s" s="153">
        <v>71</v>
      </c>
      <c r="AG81" t="s" s="153">
        <v>850</v>
      </c>
      <c r="AH81" s="183"/>
      <c r="AI81" s="218"/>
      <c r="AJ81" s="219"/>
      <c r="AK81" s="219"/>
      <c r="AL81" s="219"/>
      <c r="AM81" s="219"/>
      <c r="AN81" s="219"/>
      <c r="AO81" s="219"/>
      <c r="AP81" s="219"/>
      <c r="AQ81" s="219"/>
      <c r="AR81" s="219"/>
      <c r="AS81" s="219"/>
    </row>
    <row r="82" ht="17.5" customHeight="1">
      <c r="A82" t="s" s="168">
        <v>851</v>
      </c>
      <c r="B82" s="170"/>
      <c r="C82" s="169">
        <v>13</v>
      </c>
      <c r="D82" t="s" s="168">
        <v>667</v>
      </c>
      <c r="E82" s="170"/>
      <c r="F82" s="169">
        <v>406</v>
      </c>
      <c r="G82" t="s" s="168">
        <v>300</v>
      </c>
      <c r="H82" t="s" s="168">
        <v>852</v>
      </c>
      <c r="I82" s="170"/>
      <c r="J82" s="169">
        <v>1</v>
      </c>
      <c r="K82" s="170"/>
      <c r="L82" s="170"/>
      <c r="M82" s="169">
        <v>1</v>
      </c>
      <c r="N82" s="170"/>
      <c r="O82" s="172"/>
      <c r="P82" s="172"/>
      <c r="Q82" s="172"/>
      <c r="R82" s="172"/>
      <c r="S82" s="169">
        <v>39</v>
      </c>
      <c r="T82" s="169">
        <v>1872</v>
      </c>
      <c r="U82" s="173">
        <v>1</v>
      </c>
      <c r="V82" s="172"/>
      <c r="W82" s="170"/>
      <c r="X82" s="170"/>
      <c r="Y82" t="s" s="168">
        <v>853</v>
      </c>
      <c r="Z82" t="s" s="168">
        <v>854</v>
      </c>
      <c r="AA82" s="169">
        <v>1</v>
      </c>
      <c r="AB82" s="169">
        <v>1</v>
      </c>
      <c r="AC82" s="170"/>
      <c r="AD82" s="169">
        <v>1</v>
      </c>
      <c r="AE82" s="170"/>
      <c r="AF82" t="s" s="168">
        <v>37</v>
      </c>
      <c r="AG82" t="s" s="168">
        <v>855</v>
      </c>
      <c r="AH82" s="193"/>
      <c r="AI82" s="194"/>
      <c r="AJ82" s="195"/>
      <c r="AK82" s="195"/>
      <c r="AL82" s="195"/>
      <c r="AM82" s="195"/>
      <c r="AN82" s="195"/>
      <c r="AO82" s="195"/>
      <c r="AP82" s="195"/>
      <c r="AQ82" s="195"/>
      <c r="AR82" s="195"/>
      <c r="AS82" s="195"/>
    </row>
    <row r="83" ht="17" customHeight="1">
      <c r="A83" t="s" s="167">
        <v>851</v>
      </c>
      <c r="B83" s="105"/>
      <c r="C83" s="108">
        <v>13</v>
      </c>
      <c r="D83" t="s" s="167">
        <v>667</v>
      </c>
      <c r="E83" s="105"/>
      <c r="F83" s="108">
        <v>406</v>
      </c>
      <c r="G83" t="s" s="167">
        <v>300</v>
      </c>
      <c r="H83" t="s" s="167">
        <v>170</v>
      </c>
      <c r="I83" s="108">
        <v>1</v>
      </c>
      <c r="J83" s="105"/>
      <c r="K83" s="105"/>
      <c r="L83" s="105"/>
      <c r="M83" s="105"/>
      <c r="N83" s="108">
        <v>1</v>
      </c>
      <c r="O83" s="98"/>
      <c r="P83" s="98"/>
      <c r="Q83" s="98"/>
      <c r="R83" s="98"/>
      <c r="S83" s="108">
        <v>35</v>
      </c>
      <c r="T83" s="108">
        <v>1876</v>
      </c>
      <c r="U83" s="200">
        <v>1</v>
      </c>
      <c r="V83" s="98"/>
      <c r="W83" s="105"/>
      <c r="X83" s="108">
        <v>8</v>
      </c>
      <c r="Y83" s="105"/>
      <c r="Z83" s="105"/>
      <c r="AA83" s="105"/>
      <c r="AB83" s="105"/>
      <c r="AC83" s="105"/>
      <c r="AD83" s="108">
        <v>1</v>
      </c>
      <c r="AE83" s="105"/>
      <c r="AF83" t="s" s="167">
        <v>37</v>
      </c>
      <c r="AG83" t="s" s="167">
        <v>671</v>
      </c>
      <c r="AH83" s="181"/>
      <c r="AI83" s="115"/>
      <c r="AJ83" s="17"/>
      <c r="AK83" s="17"/>
      <c r="AL83" s="17"/>
      <c r="AM83" s="17"/>
      <c r="AN83" s="17"/>
      <c r="AO83" s="17"/>
      <c r="AP83" s="17"/>
      <c r="AQ83" s="17"/>
      <c r="AR83" s="17"/>
      <c r="AS83" s="17"/>
    </row>
    <row r="84" ht="17" customHeight="1">
      <c r="A84" t="s" s="167">
        <v>851</v>
      </c>
      <c r="B84" s="105"/>
      <c r="C84" s="108">
        <v>13</v>
      </c>
      <c r="D84" t="s" s="167">
        <v>667</v>
      </c>
      <c r="E84" s="105"/>
      <c r="F84" s="108">
        <v>406</v>
      </c>
      <c r="G84" t="s" s="167">
        <v>300</v>
      </c>
      <c r="H84" t="s" s="167">
        <v>856</v>
      </c>
      <c r="I84" s="105"/>
      <c r="J84" s="105"/>
      <c r="K84" s="105"/>
      <c r="L84" s="108">
        <v>1</v>
      </c>
      <c r="M84" s="105"/>
      <c r="N84" s="105"/>
      <c r="O84" s="98"/>
      <c r="P84" s="97">
        <v>1</v>
      </c>
      <c r="Q84" s="98"/>
      <c r="R84" s="98"/>
      <c r="S84" s="211">
        <v>5</v>
      </c>
      <c r="T84" s="108">
        <v>1906</v>
      </c>
      <c r="U84" s="98"/>
      <c r="V84" s="97">
        <v>1</v>
      </c>
      <c r="W84" s="105"/>
      <c r="X84" s="105"/>
      <c r="Y84" s="105"/>
      <c r="Z84" s="105"/>
      <c r="AA84" s="105"/>
      <c r="AB84" s="105"/>
      <c r="AC84" s="105"/>
      <c r="AD84" s="108">
        <v>1</v>
      </c>
      <c r="AE84" s="105"/>
      <c r="AF84" t="s" s="167">
        <v>37</v>
      </c>
      <c r="AG84" t="s" s="167">
        <v>671</v>
      </c>
      <c r="AH84" s="181"/>
      <c r="AI84" s="115"/>
      <c r="AJ84" s="17"/>
      <c r="AK84" s="17"/>
      <c r="AL84" s="17"/>
      <c r="AM84" s="17"/>
      <c r="AN84" s="17"/>
      <c r="AO84" s="17"/>
      <c r="AP84" s="17"/>
      <c r="AQ84" s="17"/>
      <c r="AR84" s="17"/>
      <c r="AS84" s="17"/>
    </row>
    <row r="85" ht="17" customHeight="1">
      <c r="A85" t="s" s="167">
        <v>851</v>
      </c>
      <c r="B85" s="105"/>
      <c r="C85" s="108">
        <v>13</v>
      </c>
      <c r="D85" t="s" s="167">
        <v>667</v>
      </c>
      <c r="E85" s="105"/>
      <c r="F85" s="108">
        <v>406</v>
      </c>
      <c r="G85" t="s" s="167">
        <v>300</v>
      </c>
      <c r="H85" t="s" s="167">
        <v>857</v>
      </c>
      <c r="I85" s="105"/>
      <c r="J85" s="105"/>
      <c r="K85" s="108">
        <v>1</v>
      </c>
      <c r="L85" s="105"/>
      <c r="M85" s="105"/>
      <c r="N85" s="105"/>
      <c r="O85" s="97">
        <v>1</v>
      </c>
      <c r="P85" s="98"/>
      <c r="Q85" s="98"/>
      <c r="R85" s="98"/>
      <c r="S85" s="211">
        <v>4</v>
      </c>
      <c r="T85" s="108">
        <v>1907</v>
      </c>
      <c r="U85" s="98"/>
      <c r="V85" s="97">
        <v>1</v>
      </c>
      <c r="W85" s="105"/>
      <c r="X85" s="105"/>
      <c r="Y85" s="105"/>
      <c r="Z85" s="105"/>
      <c r="AA85" s="105"/>
      <c r="AB85" s="105"/>
      <c r="AC85" s="105"/>
      <c r="AD85" s="108">
        <v>1</v>
      </c>
      <c r="AE85" s="105"/>
      <c r="AF85" t="s" s="167">
        <v>37</v>
      </c>
      <c r="AG85" t="s" s="167">
        <v>671</v>
      </c>
      <c r="AH85" s="181"/>
      <c r="AI85" s="115"/>
      <c r="AJ85" s="17"/>
      <c r="AK85" s="17"/>
      <c r="AL85" s="17"/>
      <c r="AM85" s="17"/>
      <c r="AN85" s="17"/>
      <c r="AO85" s="17"/>
      <c r="AP85" s="17"/>
      <c r="AQ85" s="17"/>
      <c r="AR85" s="17"/>
      <c r="AS85" s="17"/>
    </row>
    <row r="86" ht="17" customHeight="1">
      <c r="A86" t="s" s="167">
        <v>851</v>
      </c>
      <c r="B86" s="105"/>
      <c r="C86" s="108">
        <v>13</v>
      </c>
      <c r="D86" t="s" s="167">
        <v>667</v>
      </c>
      <c r="E86" s="105"/>
      <c r="F86" s="108">
        <v>406</v>
      </c>
      <c r="G86" t="s" s="167">
        <v>300</v>
      </c>
      <c r="H86" t="s" s="167">
        <v>858</v>
      </c>
      <c r="I86" s="105"/>
      <c r="J86" s="105"/>
      <c r="K86" s="105"/>
      <c r="L86" s="108">
        <v>1</v>
      </c>
      <c r="M86" s="105"/>
      <c r="N86" s="105"/>
      <c r="O86" s="98"/>
      <c r="P86" s="97">
        <v>1</v>
      </c>
      <c r="Q86" s="98"/>
      <c r="R86" s="98"/>
      <c r="S86" s="211">
        <v>2</v>
      </c>
      <c r="T86" s="108">
        <v>1909</v>
      </c>
      <c r="U86" s="98"/>
      <c r="V86" s="97">
        <v>1</v>
      </c>
      <c r="W86" s="105"/>
      <c r="X86" s="105"/>
      <c r="Y86" s="105"/>
      <c r="Z86" s="105"/>
      <c r="AA86" s="105"/>
      <c r="AB86" s="105"/>
      <c r="AC86" s="105"/>
      <c r="AD86" s="108">
        <v>1</v>
      </c>
      <c r="AE86" s="105"/>
      <c r="AF86" t="s" s="167">
        <v>37</v>
      </c>
      <c r="AG86" t="s" s="167">
        <v>671</v>
      </c>
      <c r="AH86" s="181"/>
      <c r="AI86" s="115"/>
      <c r="AJ86" s="17"/>
      <c r="AK86" s="17"/>
      <c r="AL86" s="17"/>
      <c r="AM86" s="17"/>
      <c r="AN86" s="17"/>
      <c r="AO86" s="17"/>
      <c r="AP86" s="17"/>
      <c r="AQ86" s="17"/>
      <c r="AR86" s="17"/>
      <c r="AS86" s="17"/>
    </row>
    <row r="87" ht="17" customHeight="1">
      <c r="A87" t="s" s="167">
        <v>851</v>
      </c>
      <c r="B87" s="105"/>
      <c r="C87" s="108">
        <v>13</v>
      </c>
      <c r="D87" t="s" s="167">
        <v>667</v>
      </c>
      <c r="E87" s="105"/>
      <c r="F87" s="108">
        <v>406</v>
      </c>
      <c r="G87" t="s" s="167">
        <v>859</v>
      </c>
      <c r="H87" t="s" s="167">
        <v>860</v>
      </c>
      <c r="I87" s="108">
        <v>1</v>
      </c>
      <c r="J87" s="105"/>
      <c r="K87" s="105"/>
      <c r="L87" s="105"/>
      <c r="M87" s="105"/>
      <c r="N87" s="105"/>
      <c r="O87" s="98"/>
      <c r="P87" s="98"/>
      <c r="Q87" s="98"/>
      <c r="R87" s="97">
        <v>1</v>
      </c>
      <c r="S87" s="108">
        <v>22</v>
      </c>
      <c r="T87" s="108">
        <v>1889</v>
      </c>
      <c r="U87" s="98"/>
      <c r="V87" s="97">
        <v>1</v>
      </c>
      <c r="W87" s="105"/>
      <c r="X87" s="105"/>
      <c r="Y87" t="s" s="167">
        <v>576</v>
      </c>
      <c r="Z87" t="s" s="167">
        <v>178</v>
      </c>
      <c r="AA87" s="108">
        <v>1</v>
      </c>
      <c r="AB87" s="105"/>
      <c r="AC87" s="108">
        <v>1</v>
      </c>
      <c r="AD87" s="108">
        <v>1</v>
      </c>
      <c r="AE87" s="105"/>
      <c r="AF87" t="s" s="167">
        <v>37</v>
      </c>
      <c r="AG87" t="s" s="167">
        <v>861</v>
      </c>
      <c r="AH87" s="181"/>
      <c r="AI87" s="115"/>
      <c r="AJ87" s="17"/>
      <c r="AK87" s="17"/>
      <c r="AL87" s="17"/>
      <c r="AM87" s="17"/>
      <c r="AN87" s="17"/>
      <c r="AO87" s="17"/>
      <c r="AP87" s="17"/>
      <c r="AQ87" s="17"/>
      <c r="AR87" s="17"/>
      <c r="AS87" s="17"/>
    </row>
    <row r="88" ht="17" customHeight="1">
      <c r="A88" t="s" s="167">
        <v>851</v>
      </c>
      <c r="B88" s="105"/>
      <c r="C88" s="108">
        <v>13</v>
      </c>
      <c r="D88" t="s" s="167">
        <v>667</v>
      </c>
      <c r="E88" s="105"/>
      <c r="F88" s="108">
        <v>406</v>
      </c>
      <c r="G88" t="s" s="167">
        <v>325</v>
      </c>
      <c r="H88" t="s" s="167">
        <v>284</v>
      </c>
      <c r="I88" s="108">
        <v>1</v>
      </c>
      <c r="J88" s="105"/>
      <c r="K88" s="105"/>
      <c r="L88" s="105"/>
      <c r="M88" s="105"/>
      <c r="N88" s="105"/>
      <c r="O88" s="98"/>
      <c r="P88" s="98"/>
      <c r="Q88" s="98"/>
      <c r="R88" s="97">
        <v>1</v>
      </c>
      <c r="S88" s="108">
        <v>23</v>
      </c>
      <c r="T88" s="108">
        <v>1888</v>
      </c>
      <c r="U88" s="98"/>
      <c r="V88" s="97">
        <v>1</v>
      </c>
      <c r="W88" s="105"/>
      <c r="X88" s="105"/>
      <c r="Y88" t="s" s="167">
        <v>162</v>
      </c>
      <c r="Z88" t="s" s="167">
        <v>178</v>
      </c>
      <c r="AA88" s="108">
        <v>1</v>
      </c>
      <c r="AB88" s="105"/>
      <c r="AC88" s="108">
        <v>1</v>
      </c>
      <c r="AD88" s="108">
        <v>1</v>
      </c>
      <c r="AE88" s="105"/>
      <c r="AF88" t="s" s="167">
        <v>37</v>
      </c>
      <c r="AG88" t="s" s="167">
        <v>712</v>
      </c>
      <c r="AH88" s="181"/>
      <c r="AI88" s="115"/>
      <c r="AJ88" s="17"/>
      <c r="AK88" s="17"/>
      <c r="AL88" s="17"/>
      <c r="AM88" s="17"/>
      <c r="AN88" s="17"/>
      <c r="AO88" s="17"/>
      <c r="AP88" s="17"/>
      <c r="AQ88" s="17"/>
      <c r="AR88" s="17"/>
      <c r="AS88" s="17"/>
    </row>
    <row r="89" ht="17" customHeight="1">
      <c r="A89" t="s" s="153">
        <v>851</v>
      </c>
      <c r="B89" s="183"/>
      <c r="C89" s="182">
        <v>13</v>
      </c>
      <c r="D89" t="s" s="153">
        <v>667</v>
      </c>
      <c r="E89" s="183"/>
      <c r="F89" s="182">
        <v>406</v>
      </c>
      <c r="G89" t="s" s="153">
        <v>862</v>
      </c>
      <c r="H89" t="s" s="153">
        <v>573</v>
      </c>
      <c r="I89" s="182">
        <v>1</v>
      </c>
      <c r="J89" s="183"/>
      <c r="K89" s="183"/>
      <c r="L89" s="183"/>
      <c r="M89" s="183"/>
      <c r="N89" s="183"/>
      <c r="O89" s="185"/>
      <c r="P89" s="185"/>
      <c r="Q89" s="185"/>
      <c r="R89" s="184">
        <v>1</v>
      </c>
      <c r="S89" s="182">
        <v>22</v>
      </c>
      <c r="T89" s="182">
        <v>1889</v>
      </c>
      <c r="U89" s="185"/>
      <c r="V89" s="184">
        <v>1</v>
      </c>
      <c r="W89" s="183"/>
      <c r="X89" s="183"/>
      <c r="Y89" t="s" s="153">
        <v>159</v>
      </c>
      <c r="Z89" t="s" s="153">
        <v>178</v>
      </c>
      <c r="AA89" s="182">
        <v>1</v>
      </c>
      <c r="AB89" s="183"/>
      <c r="AC89" s="182">
        <v>1</v>
      </c>
      <c r="AD89" s="183"/>
      <c r="AE89" s="182">
        <v>1</v>
      </c>
      <c r="AF89" t="s" s="153">
        <v>863</v>
      </c>
      <c r="AG89" t="s" s="153">
        <v>864</v>
      </c>
      <c r="AH89" s="187"/>
      <c r="AI89" s="188"/>
      <c r="AJ89" s="189"/>
      <c r="AK89" s="189"/>
      <c r="AL89" s="189"/>
      <c r="AM89" s="189"/>
      <c r="AN89" s="189"/>
      <c r="AO89" s="189"/>
      <c r="AP89" s="189"/>
      <c r="AQ89" s="189"/>
      <c r="AR89" s="189"/>
      <c r="AS89" s="189"/>
    </row>
    <row r="90" ht="17.5" customHeight="1">
      <c r="A90" t="s" s="168">
        <v>865</v>
      </c>
      <c r="B90" s="170"/>
      <c r="C90" s="169">
        <v>11</v>
      </c>
      <c r="D90" t="s" s="168">
        <v>667</v>
      </c>
      <c r="E90" s="170"/>
      <c r="F90" s="169">
        <v>403</v>
      </c>
      <c r="G90" t="s" s="168">
        <v>550</v>
      </c>
      <c r="H90" t="s" s="168">
        <v>866</v>
      </c>
      <c r="I90" s="170"/>
      <c r="J90" s="169">
        <v>1</v>
      </c>
      <c r="K90" s="170"/>
      <c r="L90" s="170"/>
      <c r="M90" s="169">
        <v>1</v>
      </c>
      <c r="N90" s="170"/>
      <c r="O90" s="172"/>
      <c r="P90" s="172"/>
      <c r="Q90" s="172"/>
      <c r="R90" s="172"/>
      <c r="S90" s="169">
        <v>44</v>
      </c>
      <c r="T90" s="169">
        <v>1867</v>
      </c>
      <c r="U90" s="173">
        <v>1</v>
      </c>
      <c r="V90" s="172"/>
      <c r="W90" s="170"/>
      <c r="X90" s="170"/>
      <c r="Y90" t="s" s="168">
        <v>371</v>
      </c>
      <c r="Z90" t="s" s="168">
        <v>867</v>
      </c>
      <c r="AA90" s="169">
        <v>1</v>
      </c>
      <c r="AB90" s="169">
        <v>1</v>
      </c>
      <c r="AC90" s="170"/>
      <c r="AD90" s="169">
        <v>1</v>
      </c>
      <c r="AE90" s="170"/>
      <c r="AF90" t="s" s="168">
        <v>37</v>
      </c>
      <c r="AG90" t="s" s="168">
        <v>671</v>
      </c>
      <c r="AH90" s="193"/>
      <c r="AI90" s="194"/>
      <c r="AJ90" s="195"/>
      <c r="AK90" s="195"/>
      <c r="AL90" s="195"/>
      <c r="AM90" s="195"/>
      <c r="AN90" s="195"/>
      <c r="AO90" s="195"/>
      <c r="AP90" s="195"/>
      <c r="AQ90" s="195"/>
      <c r="AR90" s="195"/>
      <c r="AS90" s="195"/>
    </row>
    <row r="91" ht="17" customHeight="1">
      <c r="A91" t="s" s="167">
        <v>865</v>
      </c>
      <c r="B91" s="105"/>
      <c r="C91" s="108">
        <v>11</v>
      </c>
      <c r="D91" t="s" s="167">
        <v>667</v>
      </c>
      <c r="E91" s="105"/>
      <c r="F91" s="108">
        <v>403</v>
      </c>
      <c r="G91" t="s" s="167">
        <v>550</v>
      </c>
      <c r="H91" t="s" s="167">
        <v>868</v>
      </c>
      <c r="I91" s="108">
        <v>1</v>
      </c>
      <c r="J91" s="105"/>
      <c r="K91" s="105"/>
      <c r="L91" s="105"/>
      <c r="M91" s="105"/>
      <c r="N91" s="108">
        <v>1</v>
      </c>
      <c r="O91" s="98"/>
      <c r="P91" s="98"/>
      <c r="Q91" s="98"/>
      <c r="R91" s="98"/>
      <c r="S91" s="108">
        <v>42</v>
      </c>
      <c r="T91" s="108">
        <v>1869</v>
      </c>
      <c r="U91" s="200">
        <v>1</v>
      </c>
      <c r="V91" s="98"/>
      <c r="W91" s="105"/>
      <c r="X91" s="108">
        <v>16</v>
      </c>
      <c r="Y91" s="105"/>
      <c r="Z91" s="105"/>
      <c r="AA91" s="105"/>
      <c r="AB91" s="105"/>
      <c r="AC91" s="105"/>
      <c r="AD91" s="108">
        <v>1</v>
      </c>
      <c r="AE91" s="105"/>
      <c r="AF91" t="s" s="167">
        <v>37</v>
      </c>
      <c r="AG91" t="s" s="167">
        <v>671</v>
      </c>
      <c r="AH91" s="181"/>
      <c r="AI91" s="115"/>
      <c r="AJ91" s="17"/>
      <c r="AK91" s="17"/>
      <c r="AL91" s="17"/>
      <c r="AM91" s="17"/>
      <c r="AN91" s="17"/>
      <c r="AO91" s="17"/>
      <c r="AP91" s="17"/>
      <c r="AQ91" s="17"/>
      <c r="AR91" s="17"/>
      <c r="AS91" s="17"/>
    </row>
    <row r="92" ht="17" customHeight="1">
      <c r="A92" t="s" s="167">
        <v>865</v>
      </c>
      <c r="B92" s="105"/>
      <c r="C92" s="108">
        <v>11</v>
      </c>
      <c r="D92" t="s" s="167">
        <v>667</v>
      </c>
      <c r="E92" s="105"/>
      <c r="F92" s="108">
        <v>403</v>
      </c>
      <c r="G92" t="s" s="167">
        <v>550</v>
      </c>
      <c r="H92" t="s" s="167">
        <v>869</v>
      </c>
      <c r="I92" s="105"/>
      <c r="J92" s="105"/>
      <c r="K92" s="108">
        <v>1</v>
      </c>
      <c r="L92" s="105"/>
      <c r="M92" s="105"/>
      <c r="N92" s="105"/>
      <c r="O92" s="97">
        <v>1</v>
      </c>
      <c r="P92" s="98"/>
      <c r="Q92" s="98"/>
      <c r="R92" s="98"/>
      <c r="S92" s="211">
        <v>13</v>
      </c>
      <c r="T92" s="108">
        <v>1898</v>
      </c>
      <c r="U92" s="98"/>
      <c r="V92" s="177">
        <v>1</v>
      </c>
      <c r="W92" s="105"/>
      <c r="X92" s="105"/>
      <c r="Y92" t="s" s="167">
        <v>759</v>
      </c>
      <c r="Z92" s="105"/>
      <c r="AA92" s="105"/>
      <c r="AB92" s="105"/>
      <c r="AC92" s="105"/>
      <c r="AD92" s="108">
        <v>1</v>
      </c>
      <c r="AE92" s="105"/>
      <c r="AF92" t="s" s="167">
        <v>37</v>
      </c>
      <c r="AG92" t="s" s="167">
        <v>671</v>
      </c>
      <c r="AH92" s="181"/>
      <c r="AI92" s="115"/>
      <c r="AJ92" s="17"/>
      <c r="AK92" s="17"/>
      <c r="AL92" s="17"/>
      <c r="AM92" s="17"/>
      <c r="AN92" s="17"/>
      <c r="AO92" s="17"/>
      <c r="AP92" s="17"/>
      <c r="AQ92" s="17"/>
      <c r="AR92" s="17"/>
      <c r="AS92" s="17"/>
    </row>
    <row r="93" ht="17" customHeight="1">
      <c r="A93" t="s" s="167">
        <v>865</v>
      </c>
      <c r="B93" s="105"/>
      <c r="C93" s="108">
        <v>11</v>
      </c>
      <c r="D93" t="s" s="167">
        <v>667</v>
      </c>
      <c r="E93" s="105"/>
      <c r="F93" s="108">
        <v>403</v>
      </c>
      <c r="G93" t="s" s="167">
        <v>550</v>
      </c>
      <c r="H93" t="s" s="167">
        <v>870</v>
      </c>
      <c r="I93" s="105"/>
      <c r="J93" s="105"/>
      <c r="K93" s="105"/>
      <c r="L93" s="108">
        <v>1</v>
      </c>
      <c r="M93" s="105"/>
      <c r="N93" s="105"/>
      <c r="O93" s="98"/>
      <c r="P93" s="97">
        <v>1</v>
      </c>
      <c r="Q93" s="98"/>
      <c r="R93" s="98"/>
      <c r="S93" s="211">
        <v>8</v>
      </c>
      <c r="T93" s="108">
        <v>1903</v>
      </c>
      <c r="U93" s="98"/>
      <c r="V93" s="97">
        <v>1</v>
      </c>
      <c r="W93" s="105"/>
      <c r="X93" s="105"/>
      <c r="Y93" t="s" s="167">
        <v>759</v>
      </c>
      <c r="Z93" s="105"/>
      <c r="AA93" s="105"/>
      <c r="AB93" s="105"/>
      <c r="AC93" s="105"/>
      <c r="AD93" s="108">
        <v>1</v>
      </c>
      <c r="AE93" s="105"/>
      <c r="AF93" t="s" s="167">
        <v>37</v>
      </c>
      <c r="AG93" t="s" s="167">
        <v>671</v>
      </c>
      <c r="AH93" s="181"/>
      <c r="AI93" s="115"/>
      <c r="AJ93" s="17"/>
      <c r="AK93" s="17"/>
      <c r="AL93" s="17"/>
      <c r="AM93" s="17"/>
      <c r="AN93" s="17"/>
      <c r="AO93" s="17"/>
      <c r="AP93" s="17"/>
      <c r="AQ93" s="17"/>
      <c r="AR93" s="17"/>
      <c r="AS93" s="17"/>
    </row>
    <row r="94" ht="17" customHeight="1">
      <c r="A94" t="s" s="167">
        <v>865</v>
      </c>
      <c r="B94" s="105"/>
      <c r="C94" s="108">
        <v>11</v>
      </c>
      <c r="D94" t="s" s="167">
        <v>667</v>
      </c>
      <c r="E94" s="105"/>
      <c r="F94" s="108">
        <v>403</v>
      </c>
      <c r="G94" t="s" s="167">
        <v>871</v>
      </c>
      <c r="H94" t="s" s="167">
        <v>872</v>
      </c>
      <c r="I94" s="105"/>
      <c r="J94" s="105"/>
      <c r="K94" s="108">
        <v>1</v>
      </c>
      <c r="L94" s="105"/>
      <c r="M94" s="105"/>
      <c r="N94" s="105"/>
      <c r="O94" s="98"/>
      <c r="P94" s="98"/>
      <c r="Q94" s="97">
        <v>1</v>
      </c>
      <c r="R94" s="98"/>
      <c r="S94" s="211">
        <v>13</v>
      </c>
      <c r="T94" s="108">
        <v>1898</v>
      </c>
      <c r="U94" s="98"/>
      <c r="V94" s="177">
        <v>1</v>
      </c>
      <c r="W94" s="105"/>
      <c r="X94" s="105"/>
      <c r="Y94" t="s" s="167">
        <v>759</v>
      </c>
      <c r="Z94" s="105"/>
      <c r="AA94" s="105"/>
      <c r="AB94" s="105"/>
      <c r="AC94" s="105"/>
      <c r="AD94" s="108">
        <v>1</v>
      </c>
      <c r="AE94" s="105"/>
      <c r="AF94" t="s" s="167">
        <v>37</v>
      </c>
      <c r="AG94" t="s" s="167">
        <v>671</v>
      </c>
      <c r="AH94" s="181"/>
      <c r="AI94" s="115"/>
      <c r="AJ94" s="17"/>
      <c r="AK94" s="17"/>
      <c r="AL94" s="17"/>
      <c r="AM94" s="17"/>
      <c r="AN94" s="17"/>
      <c r="AO94" s="17"/>
      <c r="AP94" s="17"/>
      <c r="AQ94" s="17"/>
      <c r="AR94" s="17"/>
      <c r="AS94" s="17"/>
    </row>
    <row r="95" ht="17" customHeight="1">
      <c r="A95" t="s" s="167">
        <v>865</v>
      </c>
      <c r="B95" s="105"/>
      <c r="C95" s="108">
        <v>11</v>
      </c>
      <c r="D95" t="s" s="167">
        <v>667</v>
      </c>
      <c r="E95" s="105"/>
      <c r="F95" s="108">
        <v>403</v>
      </c>
      <c r="G95" t="s" s="167">
        <v>873</v>
      </c>
      <c r="H95" t="s" s="167">
        <v>392</v>
      </c>
      <c r="I95" s="108">
        <v>1</v>
      </c>
      <c r="J95" s="105"/>
      <c r="K95" s="105"/>
      <c r="L95" s="105"/>
      <c r="M95" s="105"/>
      <c r="N95" s="105"/>
      <c r="O95" s="98"/>
      <c r="P95" s="98"/>
      <c r="Q95" s="98"/>
      <c r="R95" s="97">
        <v>1</v>
      </c>
      <c r="S95" s="108">
        <v>22</v>
      </c>
      <c r="T95" s="108">
        <v>1889</v>
      </c>
      <c r="U95" s="98"/>
      <c r="V95" s="177">
        <v>1</v>
      </c>
      <c r="W95" s="105"/>
      <c r="X95" s="105"/>
      <c r="Y95" t="s" s="167">
        <v>33</v>
      </c>
      <c r="Z95" t="s" s="167">
        <v>178</v>
      </c>
      <c r="AA95" s="108">
        <v>1</v>
      </c>
      <c r="AB95" s="105"/>
      <c r="AC95" s="108">
        <v>1</v>
      </c>
      <c r="AD95" s="105"/>
      <c r="AE95" s="108">
        <v>1</v>
      </c>
      <c r="AF95" t="s" s="167">
        <v>72</v>
      </c>
      <c r="AG95" t="s" s="167">
        <v>874</v>
      </c>
      <c r="AH95" s="181"/>
      <c r="AI95" s="115"/>
      <c r="AJ95" s="17"/>
      <c r="AK95" s="17"/>
      <c r="AL95" s="17"/>
      <c r="AM95" s="17"/>
      <c r="AN95" s="17"/>
      <c r="AO95" s="17"/>
      <c r="AP95" s="17"/>
      <c r="AQ95" s="17"/>
      <c r="AR95" s="17"/>
      <c r="AS95" s="17"/>
    </row>
    <row r="96" ht="17" customHeight="1">
      <c r="A96" t="s" s="153">
        <v>865</v>
      </c>
      <c r="B96" s="183"/>
      <c r="C96" s="182">
        <v>11</v>
      </c>
      <c r="D96" t="s" s="153">
        <v>667</v>
      </c>
      <c r="E96" s="183"/>
      <c r="F96" s="182">
        <v>403</v>
      </c>
      <c r="G96" t="s" s="153">
        <v>875</v>
      </c>
      <c r="H96" t="s" s="153">
        <v>51</v>
      </c>
      <c r="I96" s="182">
        <v>1</v>
      </c>
      <c r="J96" s="183"/>
      <c r="K96" s="183"/>
      <c r="L96" s="183"/>
      <c r="M96" s="183"/>
      <c r="N96" s="183"/>
      <c r="O96" s="185"/>
      <c r="P96" s="185"/>
      <c r="Q96" s="185"/>
      <c r="R96" s="184">
        <v>1</v>
      </c>
      <c r="S96" s="182">
        <v>27</v>
      </c>
      <c r="T96" s="182">
        <v>1884</v>
      </c>
      <c r="U96" s="185"/>
      <c r="V96" s="186">
        <v>1</v>
      </c>
      <c r="W96" s="183"/>
      <c r="X96" s="183"/>
      <c r="Y96" t="s" s="153">
        <v>33</v>
      </c>
      <c r="Z96" t="s" s="153">
        <v>178</v>
      </c>
      <c r="AA96" s="182">
        <v>1</v>
      </c>
      <c r="AB96" s="183"/>
      <c r="AC96" s="182">
        <v>1</v>
      </c>
      <c r="AD96" s="183"/>
      <c r="AE96" s="182">
        <v>1</v>
      </c>
      <c r="AF96" t="s" s="153">
        <v>71</v>
      </c>
      <c r="AG96" t="s" s="153">
        <v>876</v>
      </c>
      <c r="AH96" s="187"/>
      <c r="AI96" s="188"/>
      <c r="AJ96" s="189"/>
      <c r="AK96" s="189"/>
      <c r="AL96" s="189"/>
      <c r="AM96" s="189"/>
      <c r="AN96" s="189"/>
      <c r="AO96" s="189"/>
      <c r="AP96" s="189"/>
      <c r="AQ96" s="189"/>
      <c r="AR96" s="189"/>
      <c r="AS96" s="189"/>
    </row>
    <row r="97" ht="17.5" customHeight="1">
      <c r="A97" t="s" s="168">
        <v>877</v>
      </c>
      <c r="B97" s="170"/>
      <c r="C97" s="169">
        <v>9</v>
      </c>
      <c r="D97" t="s" s="168">
        <v>667</v>
      </c>
      <c r="E97" s="170"/>
      <c r="F97" s="169">
        <v>401</v>
      </c>
      <c r="G97" t="s" s="168">
        <v>878</v>
      </c>
      <c r="H97" t="s" s="168">
        <v>879</v>
      </c>
      <c r="I97" s="170"/>
      <c r="J97" s="169">
        <v>1</v>
      </c>
      <c r="K97" s="170"/>
      <c r="L97" s="170"/>
      <c r="M97" s="169">
        <v>1</v>
      </c>
      <c r="N97" s="170"/>
      <c r="O97" s="172"/>
      <c r="P97" s="172"/>
      <c r="Q97" s="172"/>
      <c r="R97" s="172"/>
      <c r="S97" s="169">
        <v>37</v>
      </c>
      <c r="T97" s="169">
        <v>1874</v>
      </c>
      <c r="U97" s="172"/>
      <c r="V97" s="173">
        <v>1</v>
      </c>
      <c r="W97" s="170"/>
      <c r="X97" s="170"/>
      <c r="Y97" t="s" s="168">
        <v>880</v>
      </c>
      <c r="Z97" t="s" s="168">
        <v>690</v>
      </c>
      <c r="AA97" s="169">
        <v>1</v>
      </c>
      <c r="AB97" s="169">
        <v>1</v>
      </c>
      <c r="AC97" s="170"/>
      <c r="AD97" s="169">
        <v>1</v>
      </c>
      <c r="AE97" s="170"/>
      <c r="AF97" t="s" s="168">
        <v>37</v>
      </c>
      <c r="AG97" t="s" s="168">
        <v>855</v>
      </c>
      <c r="AH97" s="193"/>
      <c r="AI97" s="194"/>
      <c r="AJ97" s="195"/>
      <c r="AK97" s="195"/>
      <c r="AL97" s="195"/>
      <c r="AM97" s="195"/>
      <c r="AN97" s="195"/>
      <c r="AO97" s="195"/>
      <c r="AP97" s="195"/>
      <c r="AQ97" s="195"/>
      <c r="AR97" s="195"/>
      <c r="AS97" s="195"/>
    </row>
    <row r="98" ht="17" customHeight="1">
      <c r="A98" t="s" s="167">
        <v>877</v>
      </c>
      <c r="B98" s="105"/>
      <c r="C98" s="108">
        <v>9</v>
      </c>
      <c r="D98" t="s" s="167">
        <v>667</v>
      </c>
      <c r="E98" s="105"/>
      <c r="F98" s="108">
        <v>401</v>
      </c>
      <c r="G98" t="s" s="167">
        <v>878</v>
      </c>
      <c r="H98" t="s" s="167">
        <v>881</v>
      </c>
      <c r="I98" s="108">
        <v>1</v>
      </c>
      <c r="J98" s="105"/>
      <c r="K98" s="105"/>
      <c r="L98" s="105"/>
      <c r="M98" s="105"/>
      <c r="N98" s="105"/>
      <c r="O98" s="98"/>
      <c r="P98" s="98"/>
      <c r="Q98" s="97">
        <v>1</v>
      </c>
      <c r="R98" s="98"/>
      <c r="S98" s="108">
        <v>31</v>
      </c>
      <c r="T98" s="108">
        <v>1880</v>
      </c>
      <c r="U98" s="98"/>
      <c r="V98" s="177">
        <v>1</v>
      </c>
      <c r="W98" s="105"/>
      <c r="X98" s="105"/>
      <c r="Y98" t="s" s="167">
        <v>830</v>
      </c>
      <c r="Z98" s="105"/>
      <c r="AA98" s="108">
        <v>1</v>
      </c>
      <c r="AB98" s="105"/>
      <c r="AC98" s="108">
        <v>1</v>
      </c>
      <c r="AD98" s="108">
        <v>1</v>
      </c>
      <c r="AE98" s="105"/>
      <c r="AF98" t="s" s="167">
        <v>37</v>
      </c>
      <c r="AG98" t="s" s="167">
        <v>855</v>
      </c>
      <c r="AH98" s="181"/>
      <c r="AI98" s="115"/>
      <c r="AJ98" s="17"/>
      <c r="AK98" s="17"/>
      <c r="AL98" s="17"/>
      <c r="AM98" s="17"/>
      <c r="AN98" s="17"/>
      <c r="AO98" s="17"/>
      <c r="AP98" s="17"/>
      <c r="AQ98" s="17"/>
      <c r="AR98" s="17"/>
      <c r="AS98" s="17"/>
    </row>
    <row r="99" ht="17" customHeight="1">
      <c r="A99" t="s" s="167">
        <v>877</v>
      </c>
      <c r="B99" s="105"/>
      <c r="C99" s="108">
        <v>9</v>
      </c>
      <c r="D99" t="s" s="167">
        <v>667</v>
      </c>
      <c r="E99" s="105"/>
      <c r="F99" s="108">
        <v>401</v>
      </c>
      <c r="G99" t="s" s="167">
        <v>882</v>
      </c>
      <c r="H99" t="s" s="167">
        <v>260</v>
      </c>
      <c r="I99" s="108">
        <v>1</v>
      </c>
      <c r="J99" s="105"/>
      <c r="K99" s="105"/>
      <c r="L99" s="105"/>
      <c r="M99" s="105"/>
      <c r="N99" s="105"/>
      <c r="O99" s="98"/>
      <c r="P99" s="98"/>
      <c r="Q99" s="98"/>
      <c r="R99" s="97">
        <v>1</v>
      </c>
      <c r="S99" s="108">
        <v>42</v>
      </c>
      <c r="T99" s="108">
        <v>1869</v>
      </c>
      <c r="U99" s="98"/>
      <c r="V99" s="177">
        <v>1</v>
      </c>
      <c r="W99" s="105"/>
      <c r="X99" s="105"/>
      <c r="Y99" t="s" s="167">
        <v>159</v>
      </c>
      <c r="Z99" t="s" s="167">
        <v>711</v>
      </c>
      <c r="AA99" s="108">
        <v>1</v>
      </c>
      <c r="AB99" s="105"/>
      <c r="AC99" s="108">
        <v>1</v>
      </c>
      <c r="AD99" s="108">
        <v>1</v>
      </c>
      <c r="AE99" s="105"/>
      <c r="AF99" t="s" s="167">
        <v>37</v>
      </c>
      <c r="AG99" t="s" s="167">
        <v>883</v>
      </c>
      <c r="AH99" s="181"/>
      <c r="AI99" s="115"/>
      <c r="AJ99" s="17"/>
      <c r="AK99" s="17"/>
      <c r="AL99" s="17"/>
      <c r="AM99" s="17"/>
      <c r="AN99" s="17"/>
      <c r="AO99" s="17"/>
      <c r="AP99" s="17"/>
      <c r="AQ99" s="17"/>
      <c r="AR99" s="17"/>
      <c r="AS99" s="17"/>
    </row>
    <row r="100" ht="17" customHeight="1">
      <c r="A100" t="s" s="153">
        <v>877</v>
      </c>
      <c r="B100" s="183"/>
      <c r="C100" s="182">
        <v>9</v>
      </c>
      <c r="D100" t="s" s="153">
        <v>667</v>
      </c>
      <c r="E100" s="183"/>
      <c r="F100" s="182">
        <v>401</v>
      </c>
      <c r="G100" t="s" s="153">
        <v>884</v>
      </c>
      <c r="H100" t="s" s="153">
        <v>885</v>
      </c>
      <c r="I100" s="182">
        <v>1</v>
      </c>
      <c r="J100" s="183"/>
      <c r="K100" s="183"/>
      <c r="L100" s="183"/>
      <c r="M100" s="183"/>
      <c r="N100" s="183"/>
      <c r="O100" s="185"/>
      <c r="P100" s="185"/>
      <c r="Q100" s="185"/>
      <c r="R100" s="184">
        <v>1</v>
      </c>
      <c r="S100" s="182">
        <v>28</v>
      </c>
      <c r="T100" s="182">
        <v>1883</v>
      </c>
      <c r="U100" s="185"/>
      <c r="V100" s="186">
        <v>1</v>
      </c>
      <c r="W100" s="183"/>
      <c r="X100" s="183"/>
      <c r="Y100" t="s" s="153">
        <v>162</v>
      </c>
      <c r="Z100" t="s" s="153">
        <v>178</v>
      </c>
      <c r="AA100" s="182">
        <v>1</v>
      </c>
      <c r="AB100" s="183"/>
      <c r="AC100" s="182">
        <v>1</v>
      </c>
      <c r="AD100" s="183"/>
      <c r="AE100" s="182">
        <v>1</v>
      </c>
      <c r="AF100" t="s" s="153">
        <v>166</v>
      </c>
      <c r="AG100" t="s" s="153">
        <v>886</v>
      </c>
      <c r="AH100" s="187"/>
      <c r="AI100" s="188"/>
      <c r="AJ100" s="189"/>
      <c r="AK100" s="189"/>
      <c r="AL100" s="189"/>
      <c r="AM100" s="189"/>
      <c r="AN100" s="189"/>
      <c r="AO100" s="189"/>
      <c r="AP100" s="189"/>
      <c r="AQ100" s="189"/>
      <c r="AR100" s="189"/>
      <c r="AS100" s="189"/>
    </row>
    <row r="101" ht="17.5" customHeight="1">
      <c r="A101" t="s" s="168">
        <v>887</v>
      </c>
      <c r="B101" s="170"/>
      <c r="C101" s="169">
        <v>7</v>
      </c>
      <c r="D101" t="s" s="168">
        <v>667</v>
      </c>
      <c r="E101" s="170"/>
      <c r="F101" s="169">
        <v>399</v>
      </c>
      <c r="G101" t="s" s="168">
        <v>888</v>
      </c>
      <c r="H101" t="s" s="168">
        <v>889</v>
      </c>
      <c r="I101" s="170"/>
      <c r="J101" s="169">
        <v>1</v>
      </c>
      <c r="K101" s="170"/>
      <c r="L101" s="170"/>
      <c r="M101" s="169">
        <v>1</v>
      </c>
      <c r="N101" s="170"/>
      <c r="O101" s="172"/>
      <c r="P101" s="172"/>
      <c r="Q101" s="172"/>
      <c r="R101" s="172"/>
      <c r="S101" s="169">
        <v>48</v>
      </c>
      <c r="T101" s="169">
        <v>1863</v>
      </c>
      <c r="U101" s="173">
        <v>1</v>
      </c>
      <c r="V101" s="172"/>
      <c r="W101" s="170"/>
      <c r="X101" s="170"/>
      <c r="Y101" t="s" s="168">
        <v>890</v>
      </c>
      <c r="Z101" t="s" s="168">
        <v>891</v>
      </c>
      <c r="AA101" s="169">
        <v>1</v>
      </c>
      <c r="AB101" s="169">
        <v>1</v>
      </c>
      <c r="AC101" s="170"/>
      <c r="AD101" s="169">
        <v>1</v>
      </c>
      <c r="AE101" s="170"/>
      <c r="AF101" t="s" s="168">
        <v>37</v>
      </c>
      <c r="AG101" t="s" s="168">
        <v>671</v>
      </c>
      <c r="AH101" s="193"/>
      <c r="AI101" s="194"/>
      <c r="AJ101" s="195"/>
      <c r="AK101" s="195"/>
      <c r="AL101" s="195"/>
      <c r="AM101" s="195"/>
      <c r="AN101" s="195"/>
      <c r="AO101" s="195"/>
      <c r="AP101" s="195"/>
      <c r="AQ101" s="195"/>
      <c r="AR101" s="195"/>
      <c r="AS101" s="195"/>
    </row>
    <row r="102" ht="17" customHeight="1">
      <c r="A102" t="s" s="167">
        <v>887</v>
      </c>
      <c r="B102" s="105"/>
      <c r="C102" s="108">
        <v>7</v>
      </c>
      <c r="D102" t="s" s="167">
        <v>667</v>
      </c>
      <c r="E102" s="105"/>
      <c r="F102" s="108">
        <v>399</v>
      </c>
      <c r="G102" t="s" s="167">
        <v>888</v>
      </c>
      <c r="H102" t="s" s="167">
        <v>49</v>
      </c>
      <c r="I102" s="108">
        <v>1</v>
      </c>
      <c r="J102" s="105"/>
      <c r="K102" s="105"/>
      <c r="L102" s="105"/>
      <c r="M102" s="105"/>
      <c r="N102" s="108">
        <v>1</v>
      </c>
      <c r="O102" s="98"/>
      <c r="P102" s="98"/>
      <c r="Q102" s="98"/>
      <c r="R102" s="98"/>
      <c r="S102" s="108">
        <v>56</v>
      </c>
      <c r="T102" s="108">
        <v>1855</v>
      </c>
      <c r="U102" s="200">
        <v>1</v>
      </c>
      <c r="V102" s="98"/>
      <c r="W102" s="105"/>
      <c r="X102" s="108">
        <v>25</v>
      </c>
      <c r="Y102" s="105"/>
      <c r="Z102" s="105"/>
      <c r="AA102" s="105"/>
      <c r="AB102" s="105"/>
      <c r="AC102" s="105"/>
      <c r="AD102" s="108">
        <v>1</v>
      </c>
      <c r="AE102" s="105"/>
      <c r="AF102" t="s" s="167">
        <v>37</v>
      </c>
      <c r="AG102" t="s" s="167">
        <v>671</v>
      </c>
      <c r="AH102" s="181"/>
      <c r="AI102" s="115"/>
      <c r="AJ102" s="17"/>
      <c r="AK102" s="17"/>
      <c r="AL102" s="17"/>
      <c r="AM102" s="17"/>
      <c r="AN102" s="17"/>
      <c r="AO102" s="17"/>
      <c r="AP102" s="17"/>
      <c r="AQ102" s="17"/>
      <c r="AR102" s="17"/>
      <c r="AS102" s="17"/>
    </row>
    <row r="103" ht="17" customHeight="1">
      <c r="A103" t="s" s="167">
        <v>887</v>
      </c>
      <c r="B103" s="105"/>
      <c r="C103" s="108">
        <v>7</v>
      </c>
      <c r="D103" t="s" s="167">
        <v>667</v>
      </c>
      <c r="E103" s="105"/>
      <c r="F103" s="108">
        <v>399</v>
      </c>
      <c r="G103" t="s" s="167">
        <v>888</v>
      </c>
      <c r="H103" t="s" s="167">
        <v>892</v>
      </c>
      <c r="I103" s="108">
        <v>1</v>
      </c>
      <c r="J103" s="105"/>
      <c r="K103" s="105"/>
      <c r="L103" s="105"/>
      <c r="M103" s="105"/>
      <c r="N103" s="105"/>
      <c r="O103" s="97">
        <v>1</v>
      </c>
      <c r="P103" s="98"/>
      <c r="Q103" s="98"/>
      <c r="R103" s="98"/>
      <c r="S103" s="108">
        <v>24</v>
      </c>
      <c r="T103" s="108">
        <v>1887</v>
      </c>
      <c r="U103" s="98"/>
      <c r="V103" s="177">
        <v>1</v>
      </c>
      <c r="W103" s="105"/>
      <c r="X103" s="105"/>
      <c r="Y103" s="105"/>
      <c r="Z103" s="105"/>
      <c r="AA103" s="105"/>
      <c r="AB103" s="105"/>
      <c r="AC103" s="105"/>
      <c r="AD103" s="108">
        <v>1</v>
      </c>
      <c r="AE103" s="105"/>
      <c r="AF103" t="s" s="167">
        <v>37</v>
      </c>
      <c r="AG103" t="s" s="167">
        <v>671</v>
      </c>
      <c r="AH103" s="181"/>
      <c r="AI103" s="115"/>
      <c r="AJ103" s="17"/>
      <c r="AK103" s="17"/>
      <c r="AL103" s="17"/>
      <c r="AM103" s="17"/>
      <c r="AN103" s="17"/>
      <c r="AO103" s="17"/>
      <c r="AP103" s="17"/>
      <c r="AQ103" s="17"/>
      <c r="AR103" s="17"/>
      <c r="AS103" s="17"/>
    </row>
    <row r="104" ht="17" customHeight="1">
      <c r="A104" t="s" s="167">
        <v>887</v>
      </c>
      <c r="B104" s="105"/>
      <c r="C104" s="108">
        <v>7</v>
      </c>
      <c r="D104" t="s" s="167">
        <v>667</v>
      </c>
      <c r="E104" s="105"/>
      <c r="F104" s="108">
        <v>399</v>
      </c>
      <c r="G104" t="s" s="167">
        <v>888</v>
      </c>
      <c r="H104" t="s" s="167">
        <v>893</v>
      </c>
      <c r="I104" s="105"/>
      <c r="J104" s="108">
        <v>1</v>
      </c>
      <c r="K104" s="105"/>
      <c r="L104" s="105"/>
      <c r="M104" s="105"/>
      <c r="N104" s="105"/>
      <c r="O104" s="98"/>
      <c r="P104" s="97">
        <v>1</v>
      </c>
      <c r="Q104" s="98"/>
      <c r="R104" s="98"/>
      <c r="S104" s="108">
        <v>21</v>
      </c>
      <c r="T104" s="108">
        <v>1890</v>
      </c>
      <c r="U104" s="98"/>
      <c r="V104" s="97">
        <v>1</v>
      </c>
      <c r="W104" s="105"/>
      <c r="X104" s="105"/>
      <c r="Y104" t="s" s="167">
        <v>894</v>
      </c>
      <c r="Z104" t="s" s="167">
        <v>891</v>
      </c>
      <c r="AA104" s="108">
        <v>1</v>
      </c>
      <c r="AB104" s="105"/>
      <c r="AC104" s="108">
        <v>1</v>
      </c>
      <c r="AD104" s="108">
        <v>1</v>
      </c>
      <c r="AE104" s="105"/>
      <c r="AF104" t="s" s="167">
        <v>37</v>
      </c>
      <c r="AG104" t="s" s="167">
        <v>671</v>
      </c>
      <c r="AH104" s="181"/>
      <c r="AI104" s="115"/>
      <c r="AJ104" s="17"/>
      <c r="AK104" s="17"/>
      <c r="AL104" s="17"/>
      <c r="AM104" s="17"/>
      <c r="AN104" s="17"/>
      <c r="AO104" s="17"/>
      <c r="AP104" s="17"/>
      <c r="AQ104" s="17"/>
      <c r="AR104" s="17"/>
      <c r="AS104" s="17"/>
    </row>
    <row r="105" ht="17" customHeight="1">
      <c r="A105" t="s" s="167">
        <v>887</v>
      </c>
      <c r="B105" s="105"/>
      <c r="C105" s="108">
        <v>7</v>
      </c>
      <c r="D105" t="s" s="167">
        <v>667</v>
      </c>
      <c r="E105" s="105"/>
      <c r="F105" s="108">
        <v>399</v>
      </c>
      <c r="G105" t="s" s="167">
        <v>895</v>
      </c>
      <c r="H105" t="s" s="167">
        <v>896</v>
      </c>
      <c r="I105" s="105"/>
      <c r="J105" s="108">
        <v>1</v>
      </c>
      <c r="K105" s="105"/>
      <c r="L105" s="105"/>
      <c r="M105" s="105"/>
      <c r="N105" s="105"/>
      <c r="O105" s="98"/>
      <c r="P105" s="98"/>
      <c r="Q105" s="97">
        <v>1</v>
      </c>
      <c r="R105" s="98"/>
      <c r="S105" s="108">
        <v>19</v>
      </c>
      <c r="T105" s="108">
        <v>1892</v>
      </c>
      <c r="U105" s="98"/>
      <c r="V105" s="97">
        <v>1</v>
      </c>
      <c r="W105" s="105"/>
      <c r="X105" s="105"/>
      <c r="Y105" t="s" s="167">
        <v>897</v>
      </c>
      <c r="Z105" t="s" s="167">
        <v>898</v>
      </c>
      <c r="AA105" s="108">
        <v>1</v>
      </c>
      <c r="AB105" s="105"/>
      <c r="AC105" s="108">
        <v>1</v>
      </c>
      <c r="AD105" s="105"/>
      <c r="AE105" s="108">
        <v>1</v>
      </c>
      <c r="AF105" t="s" s="167">
        <v>728</v>
      </c>
      <c r="AG105" t="s" s="167">
        <v>899</v>
      </c>
      <c r="AH105" t="s" s="196">
        <v>900</v>
      </c>
      <c r="AI105" s="115"/>
      <c r="AJ105" s="17"/>
      <c r="AK105" s="17"/>
      <c r="AL105" s="17"/>
      <c r="AM105" s="17"/>
      <c r="AN105" s="17"/>
      <c r="AO105" s="17"/>
      <c r="AP105" s="17"/>
      <c r="AQ105" s="17"/>
      <c r="AR105" s="17"/>
      <c r="AS105" s="17"/>
    </row>
    <row r="106" ht="17" customHeight="1">
      <c r="A106" t="s" s="167">
        <v>887</v>
      </c>
      <c r="B106" s="105"/>
      <c r="C106" s="108">
        <v>7</v>
      </c>
      <c r="D106" t="s" s="167">
        <v>667</v>
      </c>
      <c r="E106" s="105"/>
      <c r="F106" s="108">
        <v>399</v>
      </c>
      <c r="G106" t="s" s="167">
        <v>901</v>
      </c>
      <c r="H106" t="s" s="167">
        <v>49</v>
      </c>
      <c r="I106" s="108">
        <v>1</v>
      </c>
      <c r="J106" s="105"/>
      <c r="K106" s="105"/>
      <c r="L106" s="105"/>
      <c r="M106" s="105"/>
      <c r="N106" s="105"/>
      <c r="O106" s="98"/>
      <c r="P106" s="98"/>
      <c r="Q106" s="98"/>
      <c r="R106" s="97">
        <v>1</v>
      </c>
      <c r="S106" s="108">
        <v>40</v>
      </c>
      <c r="T106" s="108">
        <v>1871</v>
      </c>
      <c r="U106" s="98"/>
      <c r="V106" s="177">
        <v>1</v>
      </c>
      <c r="W106" s="105"/>
      <c r="X106" s="105"/>
      <c r="Y106" t="s" s="167">
        <v>159</v>
      </c>
      <c r="Z106" t="s" s="167">
        <v>178</v>
      </c>
      <c r="AA106" s="108">
        <v>1</v>
      </c>
      <c r="AB106" s="105"/>
      <c r="AC106" s="108">
        <v>1</v>
      </c>
      <c r="AD106" s="105"/>
      <c r="AE106" s="108">
        <v>1</v>
      </c>
      <c r="AF106" t="s" s="167">
        <v>902</v>
      </c>
      <c r="AG106" t="s" s="167">
        <v>903</v>
      </c>
      <c r="AH106" s="181"/>
      <c r="AI106" s="115"/>
      <c r="AJ106" s="17"/>
      <c r="AK106" s="17"/>
      <c r="AL106" s="17"/>
      <c r="AM106" s="17"/>
      <c r="AN106" s="17"/>
      <c r="AO106" s="17"/>
      <c r="AP106" s="17"/>
      <c r="AQ106" s="17"/>
      <c r="AR106" s="17"/>
      <c r="AS106" s="17"/>
    </row>
    <row r="107" ht="17" customHeight="1">
      <c r="A107" t="s" s="153">
        <v>887</v>
      </c>
      <c r="B107" s="183"/>
      <c r="C107" s="182">
        <v>7</v>
      </c>
      <c r="D107" t="s" s="153">
        <v>667</v>
      </c>
      <c r="E107" s="183"/>
      <c r="F107" s="182">
        <v>399</v>
      </c>
      <c r="G107" t="s" s="153">
        <v>904</v>
      </c>
      <c r="H107" t="s" s="153">
        <v>905</v>
      </c>
      <c r="I107" s="182">
        <v>1</v>
      </c>
      <c r="J107" s="183"/>
      <c r="K107" s="183"/>
      <c r="L107" s="183"/>
      <c r="M107" s="183"/>
      <c r="N107" s="183"/>
      <c r="O107" s="185"/>
      <c r="P107" s="185"/>
      <c r="Q107" s="185"/>
      <c r="R107" s="184">
        <v>1</v>
      </c>
      <c r="S107" s="182">
        <v>24</v>
      </c>
      <c r="T107" s="182">
        <v>1887</v>
      </c>
      <c r="U107" s="185"/>
      <c r="V107" s="186">
        <v>1</v>
      </c>
      <c r="W107" s="183"/>
      <c r="X107" s="183"/>
      <c r="Y107" t="s" s="153">
        <v>162</v>
      </c>
      <c r="Z107" t="s" s="153">
        <v>178</v>
      </c>
      <c r="AA107" s="182">
        <v>1</v>
      </c>
      <c r="AB107" s="183"/>
      <c r="AC107" s="182">
        <v>1</v>
      </c>
      <c r="AD107" s="183"/>
      <c r="AE107" s="182">
        <v>1</v>
      </c>
      <c r="AF107" t="s" s="153">
        <v>71</v>
      </c>
      <c r="AG107" t="s" s="153">
        <v>906</v>
      </c>
      <c r="AH107" s="187"/>
      <c r="AI107" s="188"/>
      <c r="AJ107" s="189"/>
      <c r="AK107" s="189"/>
      <c r="AL107" s="189"/>
      <c r="AM107" s="189"/>
      <c r="AN107" s="189"/>
      <c r="AO107" s="189"/>
      <c r="AP107" s="189"/>
      <c r="AQ107" s="189"/>
      <c r="AR107" s="189"/>
      <c r="AS107" s="189"/>
    </row>
    <row r="108" ht="17" customHeight="1">
      <c r="A108" t="s" s="208">
        <v>907</v>
      </c>
      <c r="B108" s="157"/>
      <c r="C108" s="221">
        <v>5</v>
      </c>
      <c r="D108" t="s" s="208">
        <v>667</v>
      </c>
      <c r="E108" s="157"/>
      <c r="F108" s="157"/>
      <c r="G108" t="s" s="208">
        <v>833</v>
      </c>
      <c r="H108" s="157"/>
      <c r="I108" s="157"/>
      <c r="J108" s="157"/>
      <c r="K108" s="157"/>
      <c r="L108" s="157"/>
      <c r="M108" s="157"/>
      <c r="N108" s="157"/>
      <c r="O108" s="222"/>
      <c r="P108" s="222"/>
      <c r="Q108" s="222"/>
      <c r="R108" s="222"/>
      <c r="S108" s="157"/>
      <c r="T108" s="157"/>
      <c r="U108" s="222"/>
      <c r="V108" s="222"/>
      <c r="W108" s="157"/>
      <c r="X108" s="157"/>
      <c r="Y108" s="157"/>
      <c r="Z108" s="157"/>
      <c r="AA108" s="157"/>
      <c r="AB108" s="157"/>
      <c r="AC108" s="157"/>
      <c r="AD108" s="157"/>
      <c r="AE108" s="157"/>
      <c r="AF108" s="157"/>
      <c r="AG108" s="157"/>
      <c r="AH108" s="157"/>
      <c r="AI108" s="223"/>
      <c r="AJ108" s="224"/>
      <c r="AK108" s="224"/>
      <c r="AL108" s="224"/>
      <c r="AM108" s="224"/>
      <c r="AN108" s="224"/>
      <c r="AO108" s="224"/>
      <c r="AP108" s="224"/>
      <c r="AQ108" s="224"/>
      <c r="AR108" s="224"/>
      <c r="AS108" s="225"/>
    </row>
    <row r="109" ht="17.5" customHeight="1">
      <c r="A109" t="s" s="168">
        <v>908</v>
      </c>
      <c r="B109" t="s" s="168">
        <v>909</v>
      </c>
      <c r="C109" s="169">
        <v>3</v>
      </c>
      <c r="D109" t="s" s="168">
        <v>667</v>
      </c>
      <c r="E109" s="170"/>
      <c r="F109" s="169">
        <v>395</v>
      </c>
      <c r="G109" t="s" s="168">
        <v>910</v>
      </c>
      <c r="H109" t="s" s="168">
        <v>911</v>
      </c>
      <c r="I109" s="170"/>
      <c r="J109" s="169">
        <v>1</v>
      </c>
      <c r="K109" s="170"/>
      <c r="L109" s="170"/>
      <c r="M109" s="169">
        <v>1</v>
      </c>
      <c r="N109" s="170"/>
      <c r="O109" s="172"/>
      <c r="P109" s="172"/>
      <c r="Q109" s="172"/>
      <c r="R109" s="172"/>
      <c r="S109" s="169">
        <v>70</v>
      </c>
      <c r="T109" s="169">
        <v>1841</v>
      </c>
      <c r="U109" s="172"/>
      <c r="V109" s="172"/>
      <c r="W109" s="169">
        <v>1</v>
      </c>
      <c r="X109" s="170"/>
      <c r="Y109" t="s" s="168">
        <v>912</v>
      </c>
      <c r="Z109" t="s" s="168">
        <v>913</v>
      </c>
      <c r="AA109" s="169">
        <v>1</v>
      </c>
      <c r="AB109" s="170"/>
      <c r="AC109" s="170"/>
      <c r="AD109" s="170"/>
      <c r="AE109" s="169">
        <v>1</v>
      </c>
      <c r="AF109" t="s" s="168">
        <v>814</v>
      </c>
      <c r="AG109" t="s" s="168">
        <v>914</v>
      </c>
      <c r="AH109" s="193"/>
      <c r="AI109" s="194"/>
      <c r="AJ109" s="195"/>
      <c r="AK109" s="195"/>
      <c r="AL109" s="195"/>
      <c r="AM109" s="195"/>
      <c r="AN109" s="195"/>
      <c r="AO109" s="195"/>
      <c r="AP109" s="195"/>
      <c r="AQ109" s="195"/>
      <c r="AR109" s="195"/>
      <c r="AS109" s="195"/>
    </row>
    <row r="110" ht="17" customHeight="1">
      <c r="A110" t="s" s="167">
        <v>908</v>
      </c>
      <c r="B110" t="s" s="167">
        <v>909</v>
      </c>
      <c r="C110" s="108">
        <v>3</v>
      </c>
      <c r="D110" t="s" s="167">
        <v>667</v>
      </c>
      <c r="E110" s="105"/>
      <c r="F110" s="108">
        <v>395</v>
      </c>
      <c r="G110" t="s" s="167">
        <v>910</v>
      </c>
      <c r="H110" t="s" s="167">
        <v>463</v>
      </c>
      <c r="I110" s="108">
        <v>1</v>
      </c>
      <c r="J110" s="105"/>
      <c r="K110" s="105"/>
      <c r="L110" s="105"/>
      <c r="M110" s="105"/>
      <c r="N110" s="105"/>
      <c r="O110" s="97">
        <v>1</v>
      </c>
      <c r="P110" s="98"/>
      <c r="Q110" s="98"/>
      <c r="R110" s="98"/>
      <c r="S110" s="108">
        <v>39</v>
      </c>
      <c r="T110" s="108">
        <v>1872</v>
      </c>
      <c r="U110" s="98"/>
      <c r="V110" s="177">
        <v>1</v>
      </c>
      <c r="W110" s="105"/>
      <c r="X110" s="105"/>
      <c r="Y110" s="105"/>
      <c r="Z110" s="105"/>
      <c r="AA110" s="105"/>
      <c r="AB110" s="105"/>
      <c r="AC110" s="105"/>
      <c r="AD110" s="105"/>
      <c r="AE110" s="108">
        <v>1</v>
      </c>
      <c r="AF110" t="s" s="167">
        <v>146</v>
      </c>
      <c r="AG110" t="s" s="167">
        <v>915</v>
      </c>
      <c r="AH110" s="181"/>
      <c r="AI110" s="115"/>
      <c r="AJ110" s="17"/>
      <c r="AK110" s="17"/>
      <c r="AL110" s="17"/>
      <c r="AM110" s="17"/>
      <c r="AN110" s="17"/>
      <c r="AO110" s="17"/>
      <c r="AP110" s="17"/>
      <c r="AQ110" s="17"/>
      <c r="AR110" s="17"/>
      <c r="AS110" s="17"/>
    </row>
    <row r="111" ht="17" customHeight="1">
      <c r="A111" t="s" s="167">
        <v>908</v>
      </c>
      <c r="B111" t="s" s="167">
        <v>909</v>
      </c>
      <c r="C111" s="108">
        <v>3</v>
      </c>
      <c r="D111" t="s" s="167">
        <v>667</v>
      </c>
      <c r="E111" s="105"/>
      <c r="F111" s="108">
        <v>395</v>
      </c>
      <c r="G111" t="s" s="167">
        <v>910</v>
      </c>
      <c r="H111" t="s" s="167">
        <v>916</v>
      </c>
      <c r="I111" s="105"/>
      <c r="J111" s="108">
        <v>1</v>
      </c>
      <c r="K111" s="105"/>
      <c r="L111" s="105"/>
      <c r="M111" s="105"/>
      <c r="N111" s="105"/>
      <c r="O111" s="98"/>
      <c r="P111" s="97">
        <v>1</v>
      </c>
      <c r="Q111" s="98"/>
      <c r="R111" s="98"/>
      <c r="S111" s="108">
        <v>32</v>
      </c>
      <c r="T111" s="108">
        <v>1879</v>
      </c>
      <c r="U111" s="98"/>
      <c r="V111" s="97">
        <v>1</v>
      </c>
      <c r="W111" s="105"/>
      <c r="X111" s="105"/>
      <c r="Y111" t="s" s="167">
        <v>917</v>
      </c>
      <c r="Z111" t="s" s="167">
        <v>918</v>
      </c>
      <c r="AA111" s="108">
        <v>1</v>
      </c>
      <c r="AB111" s="105"/>
      <c r="AC111" s="105"/>
      <c r="AD111" s="108">
        <v>1</v>
      </c>
      <c r="AE111" s="105"/>
      <c r="AF111" t="s" s="167">
        <v>37</v>
      </c>
      <c r="AG111" t="s" s="167">
        <v>671</v>
      </c>
      <c r="AH111" s="181"/>
      <c r="AI111" s="115"/>
      <c r="AJ111" s="17"/>
      <c r="AK111" s="17"/>
      <c r="AL111" s="17"/>
      <c r="AM111" s="17"/>
      <c r="AN111" s="17"/>
      <c r="AO111" s="17"/>
      <c r="AP111" s="17"/>
      <c r="AQ111" s="17"/>
      <c r="AR111" s="17"/>
      <c r="AS111" s="17"/>
    </row>
    <row r="112" ht="17" customHeight="1">
      <c r="A112" t="s" s="167">
        <v>908</v>
      </c>
      <c r="B112" t="s" s="167">
        <v>909</v>
      </c>
      <c r="C112" s="108">
        <v>3</v>
      </c>
      <c r="D112" t="s" s="167">
        <v>667</v>
      </c>
      <c r="E112" s="105"/>
      <c r="F112" s="108">
        <v>395</v>
      </c>
      <c r="G112" t="s" s="167">
        <v>910</v>
      </c>
      <c r="H112" t="s" s="167">
        <v>852</v>
      </c>
      <c r="I112" s="105"/>
      <c r="J112" s="108">
        <v>1</v>
      </c>
      <c r="K112" s="105"/>
      <c r="L112" s="105"/>
      <c r="M112" s="105"/>
      <c r="N112" s="105"/>
      <c r="O112" s="98"/>
      <c r="P112" s="97">
        <v>1</v>
      </c>
      <c r="Q112" s="98"/>
      <c r="R112" s="98"/>
      <c r="S112" s="108">
        <v>27</v>
      </c>
      <c r="T112" s="108">
        <v>1884</v>
      </c>
      <c r="U112" s="98"/>
      <c r="V112" s="97">
        <v>1</v>
      </c>
      <c r="W112" s="105"/>
      <c r="X112" s="105"/>
      <c r="Y112" t="s" s="167">
        <v>917</v>
      </c>
      <c r="Z112" t="s" s="167">
        <v>918</v>
      </c>
      <c r="AA112" s="108">
        <v>1</v>
      </c>
      <c r="AB112" s="105"/>
      <c r="AC112" s="105"/>
      <c r="AD112" s="108">
        <v>1</v>
      </c>
      <c r="AE112" s="105"/>
      <c r="AF112" t="s" s="167">
        <v>37</v>
      </c>
      <c r="AG112" t="s" s="167">
        <v>671</v>
      </c>
      <c r="AH112" s="181"/>
      <c r="AI112" s="115"/>
      <c r="AJ112" s="17"/>
      <c r="AK112" s="17"/>
      <c r="AL112" s="17"/>
      <c r="AM112" s="17"/>
      <c r="AN112" s="17"/>
      <c r="AO112" s="17"/>
      <c r="AP112" s="17"/>
      <c r="AQ112" s="17"/>
      <c r="AR112" s="17"/>
      <c r="AS112" s="17"/>
    </row>
    <row r="113" ht="17" customHeight="1">
      <c r="A113" t="s" s="167">
        <v>908</v>
      </c>
      <c r="B113" t="s" s="167">
        <v>909</v>
      </c>
      <c r="C113" s="108">
        <v>3</v>
      </c>
      <c r="D113" t="s" s="167">
        <v>667</v>
      </c>
      <c r="E113" s="105"/>
      <c r="F113" s="108">
        <v>395</v>
      </c>
      <c r="G113" t="s" s="167">
        <v>919</v>
      </c>
      <c r="H113" t="s" s="167">
        <v>686</v>
      </c>
      <c r="I113" s="108">
        <v>1</v>
      </c>
      <c r="J113" s="105"/>
      <c r="K113" s="105"/>
      <c r="L113" s="105"/>
      <c r="M113" s="105"/>
      <c r="N113" s="105"/>
      <c r="O113" s="98"/>
      <c r="P113" s="98"/>
      <c r="Q113" s="98"/>
      <c r="R113" s="97">
        <v>1</v>
      </c>
      <c r="S113" s="108">
        <v>20</v>
      </c>
      <c r="T113" s="108">
        <v>1891</v>
      </c>
      <c r="U113" s="98"/>
      <c r="V113" s="177">
        <v>1</v>
      </c>
      <c r="W113" s="105"/>
      <c r="X113" s="105"/>
      <c r="Y113" t="s" s="167">
        <v>159</v>
      </c>
      <c r="Z113" t="s" s="167">
        <v>178</v>
      </c>
      <c r="AA113" s="108">
        <v>1</v>
      </c>
      <c r="AB113" s="105"/>
      <c r="AC113" s="105"/>
      <c r="AD113" s="105"/>
      <c r="AE113" s="108">
        <v>1</v>
      </c>
      <c r="AF113" t="s" s="167">
        <v>730</v>
      </c>
      <c r="AG113" t="s" s="167">
        <v>920</v>
      </c>
      <c r="AH113" s="181"/>
      <c r="AI113" s="115"/>
      <c r="AJ113" s="17"/>
      <c r="AK113" s="17"/>
      <c r="AL113" s="17"/>
      <c r="AM113" s="17"/>
      <c r="AN113" s="17"/>
      <c r="AO113" s="17"/>
      <c r="AP113" s="17"/>
      <c r="AQ113" s="17"/>
      <c r="AR113" s="17"/>
      <c r="AS113" s="17"/>
    </row>
    <row r="114" ht="17" customHeight="1">
      <c r="A114" t="s" s="153">
        <v>908</v>
      </c>
      <c r="B114" t="s" s="167">
        <v>909</v>
      </c>
      <c r="C114" s="182">
        <v>3</v>
      </c>
      <c r="D114" t="s" s="153">
        <v>667</v>
      </c>
      <c r="E114" s="183"/>
      <c r="F114" s="182">
        <v>395</v>
      </c>
      <c r="G114" t="s" s="153">
        <v>921</v>
      </c>
      <c r="H114" t="s" s="153">
        <v>922</v>
      </c>
      <c r="I114" s="182">
        <v>1</v>
      </c>
      <c r="J114" s="183"/>
      <c r="K114" s="183"/>
      <c r="L114" s="183"/>
      <c r="M114" s="183"/>
      <c r="N114" s="183"/>
      <c r="O114" s="185"/>
      <c r="P114" s="185"/>
      <c r="Q114" s="185"/>
      <c r="R114" s="184">
        <v>1</v>
      </c>
      <c r="S114" s="182">
        <v>25</v>
      </c>
      <c r="T114" s="182">
        <v>1886</v>
      </c>
      <c r="U114" s="185"/>
      <c r="V114" s="186">
        <v>1</v>
      </c>
      <c r="W114" s="183"/>
      <c r="X114" s="183"/>
      <c r="Y114" t="s" s="153">
        <v>923</v>
      </c>
      <c r="Z114" t="s" s="153">
        <v>178</v>
      </c>
      <c r="AA114" s="182">
        <v>1</v>
      </c>
      <c r="AB114" s="183"/>
      <c r="AC114" s="183"/>
      <c r="AD114" s="183"/>
      <c r="AE114" s="182">
        <v>1</v>
      </c>
      <c r="AF114" t="s" s="153">
        <v>924</v>
      </c>
      <c r="AG114" t="s" s="153">
        <v>925</v>
      </c>
      <c r="AH114" s="187"/>
      <c r="AI114" s="188"/>
      <c r="AJ114" s="189"/>
      <c r="AK114" s="189"/>
      <c r="AL114" s="189"/>
      <c r="AM114" s="189"/>
      <c r="AN114" s="189"/>
      <c r="AO114" s="189"/>
      <c r="AP114" s="189"/>
      <c r="AQ114" s="189"/>
      <c r="AR114" s="189"/>
      <c r="AS114" s="189"/>
    </row>
    <row r="115" ht="17.5" customHeight="1">
      <c r="A115" t="s" s="168">
        <v>926</v>
      </c>
      <c r="B115" t="s" s="167">
        <v>927</v>
      </c>
      <c r="C115" s="169">
        <v>1</v>
      </c>
      <c r="D115" t="s" s="168">
        <v>667</v>
      </c>
      <c r="E115" s="170"/>
      <c r="F115" s="169">
        <v>391</v>
      </c>
      <c r="G115" t="s" s="168">
        <v>928</v>
      </c>
      <c r="H115" t="s" s="168">
        <v>929</v>
      </c>
      <c r="I115" s="170"/>
      <c r="J115" s="169">
        <v>1</v>
      </c>
      <c r="K115" s="170"/>
      <c r="L115" s="170"/>
      <c r="M115" s="169">
        <v>1</v>
      </c>
      <c r="N115" s="170"/>
      <c r="O115" s="172"/>
      <c r="P115" s="172"/>
      <c r="Q115" s="172"/>
      <c r="R115" s="172"/>
      <c r="S115" s="169">
        <v>53</v>
      </c>
      <c r="T115" s="169">
        <v>1858</v>
      </c>
      <c r="U115" s="173">
        <v>1</v>
      </c>
      <c r="V115" s="172"/>
      <c r="W115" s="170"/>
      <c r="X115" s="170"/>
      <c r="Y115" t="s" s="168">
        <v>337</v>
      </c>
      <c r="Z115" t="s" s="168">
        <v>670</v>
      </c>
      <c r="AA115" s="169">
        <v>1</v>
      </c>
      <c r="AB115" s="169">
        <v>1</v>
      </c>
      <c r="AC115" s="170"/>
      <c r="AD115" s="170"/>
      <c r="AE115" s="169">
        <v>1</v>
      </c>
      <c r="AF115" t="s" s="168">
        <v>71</v>
      </c>
      <c r="AG115" t="s" s="168">
        <v>930</v>
      </c>
      <c r="AH115" s="193"/>
      <c r="AI115" s="194"/>
      <c r="AJ115" s="195"/>
      <c r="AK115" s="195"/>
      <c r="AL115" s="195"/>
      <c r="AM115" s="195"/>
      <c r="AN115" s="195"/>
      <c r="AO115" s="195"/>
      <c r="AP115" s="195"/>
      <c r="AQ115" s="195"/>
      <c r="AR115" s="195"/>
      <c r="AS115" s="195"/>
    </row>
    <row r="116" ht="17" customHeight="1">
      <c r="A116" t="s" s="167">
        <v>926</v>
      </c>
      <c r="B116" t="s" s="167">
        <v>927</v>
      </c>
      <c r="C116" s="108">
        <v>1</v>
      </c>
      <c r="D116" t="s" s="167">
        <v>667</v>
      </c>
      <c r="E116" s="105"/>
      <c r="F116" s="108">
        <v>391</v>
      </c>
      <c r="G116" t="s" s="167">
        <v>928</v>
      </c>
      <c r="H116" t="s" s="167">
        <v>154</v>
      </c>
      <c r="I116" s="108">
        <v>1</v>
      </c>
      <c r="J116" s="105"/>
      <c r="K116" s="105"/>
      <c r="L116" s="105"/>
      <c r="M116" s="105"/>
      <c r="N116" s="108">
        <v>1</v>
      </c>
      <c r="O116" s="97">
        <v>1</v>
      </c>
      <c r="P116" s="98"/>
      <c r="Q116" s="98"/>
      <c r="R116" s="98"/>
      <c r="S116" s="108">
        <v>52</v>
      </c>
      <c r="T116" s="108">
        <v>1859</v>
      </c>
      <c r="U116" s="200">
        <v>1</v>
      </c>
      <c r="V116" s="98"/>
      <c r="W116" s="105"/>
      <c r="X116" s="108">
        <v>28</v>
      </c>
      <c r="Y116" s="105"/>
      <c r="Z116" s="105"/>
      <c r="AA116" s="105"/>
      <c r="AB116" s="105"/>
      <c r="AC116" s="105"/>
      <c r="AD116" s="108">
        <v>1</v>
      </c>
      <c r="AE116" s="105"/>
      <c r="AF116" t="s" s="167">
        <v>37</v>
      </c>
      <c r="AG116" t="s" s="167">
        <v>671</v>
      </c>
      <c r="AH116" s="181"/>
      <c r="AI116" s="115"/>
      <c r="AJ116" s="17"/>
      <c r="AK116" s="17"/>
      <c r="AL116" s="17"/>
      <c r="AM116" s="17"/>
      <c r="AN116" s="17"/>
      <c r="AO116" s="17"/>
      <c r="AP116" s="17"/>
      <c r="AQ116" s="17"/>
      <c r="AR116" s="17"/>
      <c r="AS116" s="17"/>
    </row>
    <row r="117" ht="17" customHeight="1">
      <c r="A117" t="s" s="167">
        <v>926</v>
      </c>
      <c r="B117" t="s" s="167">
        <v>927</v>
      </c>
      <c r="C117" s="108">
        <v>1</v>
      </c>
      <c r="D117" t="s" s="167">
        <v>667</v>
      </c>
      <c r="E117" s="105"/>
      <c r="F117" s="108">
        <v>391</v>
      </c>
      <c r="G117" t="s" s="167">
        <v>928</v>
      </c>
      <c r="H117" t="s" s="167">
        <v>49</v>
      </c>
      <c r="I117" s="108">
        <v>1</v>
      </c>
      <c r="J117" s="105"/>
      <c r="K117" s="105"/>
      <c r="L117" s="105"/>
      <c r="M117" s="105"/>
      <c r="N117" s="105"/>
      <c r="O117" s="97">
        <v>1</v>
      </c>
      <c r="P117" s="98"/>
      <c r="Q117" s="98"/>
      <c r="R117" s="98"/>
      <c r="S117" s="108">
        <v>27</v>
      </c>
      <c r="T117" s="108">
        <v>1884</v>
      </c>
      <c r="U117" s="98"/>
      <c r="V117" s="97">
        <v>1</v>
      </c>
      <c r="W117" s="105"/>
      <c r="X117" s="105"/>
      <c r="Y117" s="105"/>
      <c r="Z117" s="105"/>
      <c r="AA117" s="105"/>
      <c r="AB117" s="105"/>
      <c r="AC117" s="105"/>
      <c r="AD117" s="108">
        <v>1</v>
      </c>
      <c r="AE117" s="105"/>
      <c r="AF117" t="s" s="167">
        <v>37</v>
      </c>
      <c r="AG117" t="s" s="167">
        <v>671</v>
      </c>
      <c r="AH117" s="181"/>
      <c r="AI117" s="115"/>
      <c r="AJ117" s="17"/>
      <c r="AK117" s="17"/>
      <c r="AL117" s="17"/>
      <c r="AM117" s="17"/>
      <c r="AN117" s="17"/>
      <c r="AO117" s="17"/>
      <c r="AP117" s="17"/>
      <c r="AQ117" s="17"/>
      <c r="AR117" s="17"/>
      <c r="AS117" s="17"/>
    </row>
    <row r="118" ht="17" customHeight="1">
      <c r="A118" t="s" s="167">
        <v>926</v>
      </c>
      <c r="B118" t="s" s="167">
        <v>927</v>
      </c>
      <c r="C118" s="108">
        <v>1</v>
      </c>
      <c r="D118" t="s" s="167">
        <v>667</v>
      </c>
      <c r="E118" s="105"/>
      <c r="F118" s="108">
        <v>391</v>
      </c>
      <c r="G118" t="s" s="167">
        <v>928</v>
      </c>
      <c r="H118" t="s" s="167">
        <v>596</v>
      </c>
      <c r="I118" s="105"/>
      <c r="J118" s="108">
        <v>1</v>
      </c>
      <c r="K118" s="105"/>
      <c r="L118" s="105"/>
      <c r="M118" s="105"/>
      <c r="N118" s="105"/>
      <c r="O118" s="98"/>
      <c r="P118" s="97">
        <v>1</v>
      </c>
      <c r="Q118" s="98"/>
      <c r="R118" s="98"/>
      <c r="S118" s="108">
        <v>23</v>
      </c>
      <c r="T118" s="108">
        <v>1888</v>
      </c>
      <c r="U118" s="98"/>
      <c r="V118" s="97">
        <v>1</v>
      </c>
      <c r="W118" s="105"/>
      <c r="X118" s="105"/>
      <c r="Y118" t="s" s="167">
        <v>337</v>
      </c>
      <c r="Z118" t="s" s="167">
        <v>670</v>
      </c>
      <c r="AA118" s="108">
        <v>1</v>
      </c>
      <c r="AB118" s="105"/>
      <c r="AC118" s="108">
        <v>1</v>
      </c>
      <c r="AD118" s="108">
        <v>1</v>
      </c>
      <c r="AE118" s="105"/>
      <c r="AF118" t="s" s="167">
        <v>37</v>
      </c>
      <c r="AG118" t="s" s="167">
        <v>671</v>
      </c>
      <c r="AH118" s="181"/>
      <c r="AI118" s="115"/>
      <c r="AJ118" s="17"/>
      <c r="AK118" s="17"/>
      <c r="AL118" s="17"/>
      <c r="AM118" s="17"/>
      <c r="AN118" s="17"/>
      <c r="AO118" s="17"/>
      <c r="AP118" s="17"/>
      <c r="AQ118" s="17"/>
      <c r="AR118" s="17"/>
      <c r="AS118" s="17"/>
    </row>
    <row r="119" ht="17" customHeight="1">
      <c r="A119" t="s" s="167">
        <v>926</v>
      </c>
      <c r="B119" t="s" s="167">
        <v>927</v>
      </c>
      <c r="C119" s="108">
        <v>1</v>
      </c>
      <c r="D119" t="s" s="167">
        <v>667</v>
      </c>
      <c r="E119" s="105"/>
      <c r="F119" s="108">
        <v>391</v>
      </c>
      <c r="G119" t="s" s="167">
        <v>928</v>
      </c>
      <c r="H119" t="s" s="167">
        <v>260</v>
      </c>
      <c r="I119" s="108">
        <v>1</v>
      </c>
      <c r="J119" s="105"/>
      <c r="K119" s="105"/>
      <c r="L119" s="105"/>
      <c r="M119" s="105"/>
      <c r="N119" s="105"/>
      <c r="O119" s="97">
        <v>1</v>
      </c>
      <c r="P119" s="98"/>
      <c r="Q119" s="98"/>
      <c r="R119" s="98"/>
      <c r="S119" s="108">
        <v>20</v>
      </c>
      <c r="T119" s="108">
        <v>1891</v>
      </c>
      <c r="U119" s="98"/>
      <c r="V119" s="97">
        <v>1</v>
      </c>
      <c r="W119" s="105"/>
      <c r="X119" s="105"/>
      <c r="Y119" s="105"/>
      <c r="Z119" s="105"/>
      <c r="AA119" s="105"/>
      <c r="AB119" s="105"/>
      <c r="AC119" s="105"/>
      <c r="AD119" s="108">
        <v>1</v>
      </c>
      <c r="AE119" s="105"/>
      <c r="AF119" t="s" s="167">
        <v>37</v>
      </c>
      <c r="AG119" t="s" s="167">
        <v>671</v>
      </c>
      <c r="AH119" s="181"/>
      <c r="AI119" s="115"/>
      <c r="AJ119" s="17"/>
      <c r="AK119" s="17"/>
      <c r="AL119" s="17"/>
      <c r="AM119" s="17"/>
      <c r="AN119" s="17"/>
      <c r="AO119" s="17"/>
      <c r="AP119" s="17"/>
      <c r="AQ119" s="17"/>
      <c r="AR119" s="17"/>
      <c r="AS119" s="17"/>
    </row>
    <row r="120" ht="17" customHeight="1">
      <c r="A120" t="s" s="167">
        <v>926</v>
      </c>
      <c r="B120" t="s" s="167">
        <v>927</v>
      </c>
      <c r="C120" s="108">
        <v>1</v>
      </c>
      <c r="D120" t="s" s="167">
        <v>667</v>
      </c>
      <c r="E120" s="105"/>
      <c r="F120" s="108">
        <v>391</v>
      </c>
      <c r="G120" t="s" s="167">
        <v>928</v>
      </c>
      <c r="H120" t="s" s="167">
        <v>931</v>
      </c>
      <c r="I120" s="105"/>
      <c r="J120" s="105"/>
      <c r="K120" s="105"/>
      <c r="L120" s="108">
        <v>1</v>
      </c>
      <c r="M120" s="105"/>
      <c r="N120" s="105"/>
      <c r="O120" s="98"/>
      <c r="P120" s="97">
        <v>1</v>
      </c>
      <c r="Q120" s="98"/>
      <c r="R120" s="98"/>
      <c r="S120" s="108">
        <v>15</v>
      </c>
      <c r="T120" s="108">
        <v>1896</v>
      </c>
      <c r="U120" s="98"/>
      <c r="V120" s="97">
        <v>1</v>
      </c>
      <c r="W120" s="105"/>
      <c r="X120" s="105"/>
      <c r="Y120" t="s" s="167">
        <v>759</v>
      </c>
      <c r="Z120" s="105"/>
      <c r="AA120" s="105"/>
      <c r="AB120" s="105"/>
      <c r="AC120" s="105"/>
      <c r="AD120" s="108">
        <v>1</v>
      </c>
      <c r="AE120" s="105"/>
      <c r="AF120" t="s" s="167">
        <v>37</v>
      </c>
      <c r="AG120" t="s" s="167">
        <v>671</v>
      </c>
      <c r="AH120" s="181"/>
      <c r="AI120" s="115"/>
      <c r="AJ120" s="17"/>
      <c r="AK120" s="17"/>
      <c r="AL120" s="17"/>
      <c r="AM120" s="17"/>
      <c r="AN120" s="17"/>
      <c r="AO120" s="17"/>
      <c r="AP120" s="17"/>
      <c r="AQ120" s="17"/>
      <c r="AR120" s="17"/>
      <c r="AS120" s="17"/>
    </row>
    <row r="121" ht="17" customHeight="1">
      <c r="A121" t="s" s="167">
        <v>926</v>
      </c>
      <c r="B121" t="s" s="167">
        <v>927</v>
      </c>
      <c r="C121" s="108">
        <v>1</v>
      </c>
      <c r="D121" t="s" s="167">
        <v>667</v>
      </c>
      <c r="E121" s="105"/>
      <c r="F121" s="108">
        <v>391</v>
      </c>
      <c r="G121" t="s" s="167">
        <v>928</v>
      </c>
      <c r="H121" t="s" s="167">
        <v>78</v>
      </c>
      <c r="I121" s="105"/>
      <c r="J121" s="105"/>
      <c r="K121" s="105"/>
      <c r="L121" s="108">
        <v>1</v>
      </c>
      <c r="M121" s="105"/>
      <c r="N121" s="105"/>
      <c r="O121" s="98"/>
      <c r="P121" s="97">
        <v>1</v>
      </c>
      <c r="Q121" s="98"/>
      <c r="R121" s="98"/>
      <c r="S121" s="108">
        <v>14</v>
      </c>
      <c r="T121" s="108">
        <v>1897</v>
      </c>
      <c r="U121" s="98"/>
      <c r="V121" s="97">
        <v>1</v>
      </c>
      <c r="W121" s="105"/>
      <c r="X121" s="105"/>
      <c r="Y121" t="s" s="167">
        <v>759</v>
      </c>
      <c r="Z121" s="105"/>
      <c r="AA121" s="105"/>
      <c r="AB121" s="105"/>
      <c r="AC121" s="105"/>
      <c r="AD121" s="108">
        <v>1</v>
      </c>
      <c r="AE121" s="105"/>
      <c r="AF121" t="s" s="167">
        <v>37</v>
      </c>
      <c r="AG121" t="s" s="167">
        <v>671</v>
      </c>
      <c r="AH121" s="181"/>
      <c r="AI121" s="115"/>
      <c r="AJ121" s="17"/>
      <c r="AK121" s="17"/>
      <c r="AL121" s="17"/>
      <c r="AM121" s="17"/>
      <c r="AN121" s="17"/>
      <c r="AO121" s="17"/>
      <c r="AP121" s="17"/>
      <c r="AQ121" s="17"/>
      <c r="AR121" s="17"/>
      <c r="AS121" s="17"/>
    </row>
    <row r="122" ht="17" customHeight="1">
      <c r="A122" t="s" s="167">
        <v>926</v>
      </c>
      <c r="B122" t="s" s="167">
        <v>927</v>
      </c>
      <c r="C122" s="108">
        <v>1</v>
      </c>
      <c r="D122" t="s" s="167">
        <v>667</v>
      </c>
      <c r="E122" s="105"/>
      <c r="F122" s="108">
        <v>391</v>
      </c>
      <c r="G122" t="s" s="167">
        <v>928</v>
      </c>
      <c r="H122" t="s" s="167">
        <v>811</v>
      </c>
      <c r="I122" s="105"/>
      <c r="J122" s="105"/>
      <c r="K122" s="105"/>
      <c r="L122" s="108">
        <v>1</v>
      </c>
      <c r="M122" s="105"/>
      <c r="N122" s="105"/>
      <c r="O122" s="98"/>
      <c r="P122" s="97">
        <v>1</v>
      </c>
      <c r="Q122" s="98"/>
      <c r="R122" s="98"/>
      <c r="S122" s="108">
        <v>10</v>
      </c>
      <c r="T122" s="108">
        <v>1901</v>
      </c>
      <c r="U122" s="98"/>
      <c r="V122" s="97">
        <v>1</v>
      </c>
      <c r="W122" s="105"/>
      <c r="X122" s="105"/>
      <c r="Y122" t="s" s="167">
        <v>759</v>
      </c>
      <c r="Z122" s="105"/>
      <c r="AA122" s="105"/>
      <c r="AB122" s="105"/>
      <c r="AC122" s="105"/>
      <c r="AD122" s="108">
        <v>1</v>
      </c>
      <c r="AE122" s="105"/>
      <c r="AF122" t="s" s="167">
        <v>37</v>
      </c>
      <c r="AG122" t="s" s="167">
        <v>671</v>
      </c>
      <c r="AH122" s="181"/>
      <c r="AI122" s="115"/>
      <c r="AJ122" s="17"/>
      <c r="AK122" s="17"/>
      <c r="AL122" s="17"/>
      <c r="AM122" s="17"/>
      <c r="AN122" s="17"/>
      <c r="AO122" s="17"/>
      <c r="AP122" s="17"/>
      <c r="AQ122" s="17"/>
      <c r="AR122" s="17"/>
      <c r="AS122" s="17"/>
    </row>
    <row r="123" ht="17" customHeight="1">
      <c r="A123" t="s" s="167">
        <v>926</v>
      </c>
      <c r="B123" t="s" s="167">
        <v>927</v>
      </c>
      <c r="C123" s="108">
        <v>1</v>
      </c>
      <c r="D123" t="s" s="167">
        <v>667</v>
      </c>
      <c r="E123" s="105"/>
      <c r="F123" s="108">
        <v>391</v>
      </c>
      <c r="G123" t="s" s="167">
        <v>932</v>
      </c>
      <c r="H123" t="s" s="167">
        <v>389</v>
      </c>
      <c r="I123" s="108">
        <v>1</v>
      </c>
      <c r="J123" s="105"/>
      <c r="K123" s="105"/>
      <c r="L123" s="105"/>
      <c r="M123" s="105"/>
      <c r="N123" s="105"/>
      <c r="O123" s="98"/>
      <c r="P123" s="98"/>
      <c r="Q123" s="98"/>
      <c r="R123" s="97">
        <v>1</v>
      </c>
      <c r="S123" s="108">
        <v>24</v>
      </c>
      <c r="T123" s="108">
        <v>1887</v>
      </c>
      <c r="U123" s="98"/>
      <c r="V123" s="97">
        <v>1</v>
      </c>
      <c r="W123" s="105"/>
      <c r="X123" s="105"/>
      <c r="Y123" t="s" s="167">
        <v>547</v>
      </c>
      <c r="Z123" t="s" s="167">
        <v>178</v>
      </c>
      <c r="AA123" s="108">
        <v>1</v>
      </c>
      <c r="AB123" s="105"/>
      <c r="AC123" s="108">
        <v>1</v>
      </c>
      <c r="AD123" s="105"/>
      <c r="AE123" s="108">
        <v>1</v>
      </c>
      <c r="AF123" t="s" s="167">
        <v>933</v>
      </c>
      <c r="AG123" t="s" s="167">
        <v>934</v>
      </c>
      <c r="AH123" s="181"/>
      <c r="AI123" s="115"/>
      <c r="AJ123" s="17"/>
      <c r="AK123" s="17"/>
      <c r="AL123" s="17"/>
      <c r="AM123" s="17"/>
      <c r="AN123" s="17"/>
      <c r="AO123" s="17"/>
      <c r="AP123" s="17"/>
      <c r="AQ123" s="17"/>
      <c r="AR123" s="17"/>
      <c r="AS123" s="17"/>
    </row>
    <row r="124" ht="17" customHeight="1">
      <c r="A124" t="s" s="153">
        <v>926</v>
      </c>
      <c r="B124" t="s" s="153">
        <v>927</v>
      </c>
      <c r="C124" s="182">
        <v>1</v>
      </c>
      <c r="D124" t="s" s="153">
        <v>667</v>
      </c>
      <c r="E124" s="183"/>
      <c r="F124" s="182">
        <v>391</v>
      </c>
      <c r="G124" t="s" s="153">
        <v>346</v>
      </c>
      <c r="H124" t="s" s="153">
        <v>43</v>
      </c>
      <c r="I124" s="182">
        <v>1</v>
      </c>
      <c r="J124" s="183"/>
      <c r="K124" s="183"/>
      <c r="L124" s="183"/>
      <c r="M124" s="183"/>
      <c r="N124" s="183"/>
      <c r="O124" s="185"/>
      <c r="P124" s="185"/>
      <c r="Q124" s="185"/>
      <c r="R124" s="184">
        <v>1</v>
      </c>
      <c r="S124" s="182">
        <v>24</v>
      </c>
      <c r="T124" s="182">
        <v>1887</v>
      </c>
      <c r="U124" s="185"/>
      <c r="V124" s="184">
        <v>1</v>
      </c>
      <c r="W124" s="183"/>
      <c r="X124" s="183"/>
      <c r="Y124" t="s" s="153">
        <v>547</v>
      </c>
      <c r="Z124" t="s" s="153">
        <v>178</v>
      </c>
      <c r="AA124" s="182">
        <v>1</v>
      </c>
      <c r="AB124" s="183"/>
      <c r="AC124" s="182">
        <v>1</v>
      </c>
      <c r="AD124" s="182">
        <v>1</v>
      </c>
      <c r="AE124" s="183"/>
      <c r="AF124" t="s" s="153">
        <v>37</v>
      </c>
      <c r="AG124" t="s" s="153">
        <v>935</v>
      </c>
      <c r="AH124" s="187"/>
      <c r="AI124" s="188"/>
      <c r="AJ124" s="189"/>
      <c r="AK124" s="189"/>
      <c r="AL124" s="189"/>
      <c r="AM124" s="189"/>
      <c r="AN124" s="189"/>
      <c r="AO124" s="189"/>
      <c r="AP124" s="189"/>
      <c r="AQ124" s="189"/>
      <c r="AR124" s="189"/>
      <c r="AS124" s="189"/>
    </row>
    <row r="125" ht="17" customHeight="1">
      <c r="A125" t="s" s="208">
        <v>285</v>
      </c>
      <c r="B125" s="157"/>
      <c r="C125" s="157"/>
      <c r="D125" s="221">
        <v>24</v>
      </c>
      <c r="E125" s="157"/>
      <c r="F125" s="157"/>
      <c r="G125" s="221">
        <v>59</v>
      </c>
      <c r="H125" s="221">
        <v>120</v>
      </c>
      <c r="I125" s="221">
        <f>SUM(I3:I124)</f>
        <v>69</v>
      </c>
      <c r="J125" s="221">
        <f>SUM(J3:J124)</f>
        <v>34</v>
      </c>
      <c r="K125" s="221">
        <f>SUM(K3:K124)</f>
        <v>9</v>
      </c>
      <c r="L125" s="221">
        <f>SUM(L3:L124)</f>
        <v>8</v>
      </c>
      <c r="M125" s="221">
        <f>SUM(M3:M124)</f>
        <v>22</v>
      </c>
      <c r="N125" s="221">
        <f>SUM(N3:N124)</f>
        <v>14</v>
      </c>
      <c r="O125" s="221">
        <f>SUM(O3:O124)</f>
        <v>28</v>
      </c>
      <c r="P125" s="221">
        <f>SUM(P3:P124)</f>
        <v>16</v>
      </c>
      <c r="Q125" s="221">
        <f>SUM(Q3:Q124)</f>
        <v>6</v>
      </c>
      <c r="R125" s="221">
        <f>SUM(R3:R124)</f>
        <v>35</v>
      </c>
      <c r="S125" s="221">
        <f>SUM(S3:S124)</f>
        <v>3745.5</v>
      </c>
      <c r="T125" s="157"/>
      <c r="U125" s="221">
        <f>SUM(U3:U124)</f>
        <v>28</v>
      </c>
      <c r="V125" s="221">
        <f>SUM(V3:V124)</f>
        <v>86</v>
      </c>
      <c r="W125" s="221">
        <f>SUM(W3:W124)</f>
        <v>6</v>
      </c>
      <c r="X125" s="221">
        <f>SUM(X3:X124)</f>
        <v>287</v>
      </c>
      <c r="Y125" s="157"/>
      <c r="Z125" s="157"/>
      <c r="AA125" s="221">
        <f>SUM(AA3:AA124)</f>
        <v>76</v>
      </c>
      <c r="AB125" s="221">
        <f>SUM(AB3:AB124)</f>
        <v>12</v>
      </c>
      <c r="AC125" s="221">
        <f>SUM(AC3:AC124)</f>
        <v>57</v>
      </c>
      <c r="AD125" s="221">
        <f>SUM(AD3:AD124)</f>
        <v>74</v>
      </c>
      <c r="AE125" s="221">
        <f>SUM(AE3:AE124)</f>
        <v>46</v>
      </c>
      <c r="AF125" s="157"/>
      <c r="AG125" s="157"/>
      <c r="AH125" s="157"/>
      <c r="AI125" s="165"/>
      <c r="AJ125" s="226"/>
      <c r="AK125" s="226"/>
      <c r="AL125" s="226"/>
      <c r="AM125" s="226"/>
      <c r="AN125" s="226"/>
      <c r="AO125" s="226"/>
      <c r="AP125" s="226"/>
      <c r="AQ125" s="226"/>
      <c r="AR125" s="226"/>
      <c r="AS125" s="226"/>
    </row>
    <row r="126" ht="17.5" customHeight="1">
      <c r="A126" s="195"/>
      <c r="B126" s="195"/>
      <c r="C126" s="195"/>
      <c r="D126" s="195"/>
      <c r="E126" s="195"/>
      <c r="F126" s="195"/>
      <c r="G126" s="195"/>
      <c r="H126" s="195"/>
      <c r="I126" s="195"/>
      <c r="J126" s="195"/>
      <c r="K126" s="195"/>
      <c r="L126" s="227"/>
      <c r="M126" s="194"/>
      <c r="N126" s="195"/>
      <c r="O126" s="195"/>
      <c r="P126" s="195"/>
      <c r="Q126" s="195"/>
      <c r="R126" s="195"/>
      <c r="S126" s="228"/>
      <c r="T126" s="228"/>
      <c r="U126" s="195"/>
      <c r="V126" s="195"/>
      <c r="W126" s="195"/>
      <c r="X126" s="228"/>
      <c r="Y126" s="195"/>
      <c r="Z126" s="195"/>
      <c r="AA126" s="229">
        <f>AA125-R125</f>
        <v>41</v>
      </c>
      <c r="AB126" s="195"/>
      <c r="AC126" s="195"/>
      <c r="AD126" s="195"/>
      <c r="AE126" s="195"/>
      <c r="AF126" s="195"/>
      <c r="AG126" s="227"/>
      <c r="AH126" s="193"/>
      <c r="AI126" s="194"/>
      <c r="AJ126" s="195"/>
      <c r="AK126" s="195"/>
      <c r="AL126" s="195"/>
      <c r="AM126" s="195"/>
      <c r="AN126" s="195"/>
      <c r="AO126" s="195"/>
      <c r="AP126" s="195"/>
      <c r="AQ126" s="195"/>
      <c r="AR126" s="195"/>
      <c r="AS126" s="195"/>
    </row>
    <row r="127" ht="17" customHeight="1">
      <c r="A127" s="17"/>
      <c r="B127" s="17"/>
      <c r="C127" s="17"/>
      <c r="D127" s="17"/>
      <c r="E127" s="17"/>
      <c r="F127" s="17"/>
      <c r="G127" s="17"/>
      <c r="H127" s="17"/>
      <c r="I127" s="79"/>
      <c r="J127" s="79"/>
      <c r="K127" s="79"/>
      <c r="L127" s="113"/>
      <c r="M127" s="115"/>
      <c r="N127" s="17"/>
      <c r="O127" s="17"/>
      <c r="P127" s="17"/>
      <c r="Q127" s="17"/>
      <c r="R127" s="17"/>
      <c r="S127" s="78"/>
      <c r="T127" s="78"/>
      <c r="U127" s="79"/>
      <c r="V127" s="79"/>
      <c r="W127" s="79"/>
      <c r="X127" s="78"/>
      <c r="Y127" s="17"/>
      <c r="Z127" s="17"/>
      <c r="AA127" s="17"/>
      <c r="AB127" s="17"/>
      <c r="AC127" s="17"/>
      <c r="AD127" s="17"/>
      <c r="AE127" s="17"/>
      <c r="AF127" s="17"/>
      <c r="AG127" s="113"/>
      <c r="AH127" s="181"/>
      <c r="AI127" s="115"/>
      <c r="AJ127" s="17"/>
      <c r="AK127" s="17"/>
      <c r="AL127" s="17"/>
      <c r="AM127" s="17"/>
      <c r="AN127" s="17"/>
      <c r="AO127" s="17"/>
      <c r="AP127" s="17"/>
      <c r="AQ127" s="17"/>
      <c r="AR127" s="17"/>
      <c r="AS127" s="17"/>
    </row>
    <row r="128" ht="17" customHeight="1">
      <c r="A128" s="17"/>
      <c r="B128" s="17"/>
      <c r="C128" s="17"/>
      <c r="D128" s="17"/>
      <c r="E128" s="17"/>
      <c r="F128" s="17"/>
      <c r="G128" s="17"/>
      <c r="H128" s="17"/>
      <c r="I128" s="17"/>
      <c r="J128" s="17"/>
      <c r="K128" s="17"/>
      <c r="L128" s="113"/>
      <c r="M128" s="115"/>
      <c r="N128" s="17"/>
      <c r="O128" s="17"/>
      <c r="P128" s="17"/>
      <c r="Q128" s="17"/>
      <c r="R128" s="17"/>
      <c r="S128" s="17"/>
      <c r="T128" s="17"/>
      <c r="U128" s="15"/>
      <c r="V128" s="15"/>
      <c r="W128" s="116"/>
      <c r="X128" s="17"/>
      <c r="Y128" s="17"/>
      <c r="Z128" s="17"/>
      <c r="AA128" s="17"/>
      <c r="AB128" s="17"/>
      <c r="AC128" s="17"/>
      <c r="AD128" s="17"/>
      <c r="AE128" s="17"/>
      <c r="AF128" s="17"/>
      <c r="AG128" s="113"/>
      <c r="AH128" s="181"/>
      <c r="AI128" s="115"/>
      <c r="AJ128" s="17"/>
      <c r="AK128" s="17"/>
      <c r="AL128" s="17"/>
      <c r="AM128" s="17"/>
      <c r="AN128" s="17"/>
      <c r="AO128" s="17"/>
      <c r="AP128" s="17"/>
      <c r="AQ128" s="17"/>
      <c r="AR128" s="17"/>
      <c r="AS128" s="17"/>
    </row>
    <row r="129" ht="17" customHeight="1">
      <c r="A129" s="17"/>
      <c r="B129" s="17"/>
      <c r="C129" s="17"/>
      <c r="D129" s="17"/>
      <c r="E129" s="17"/>
      <c r="F129" s="17"/>
      <c r="G129" s="17"/>
      <c r="H129" s="17"/>
      <c r="I129" s="17"/>
      <c r="J129" s="17"/>
      <c r="K129" s="17"/>
      <c r="L129" s="113"/>
      <c r="M129" s="115"/>
      <c r="N129" s="17"/>
      <c r="O129" s="17"/>
      <c r="P129" s="17"/>
      <c r="Q129" s="17"/>
      <c r="R129" s="17"/>
      <c r="S129" s="17"/>
      <c r="T129" s="17"/>
      <c r="U129" s="79"/>
      <c r="V129" s="79"/>
      <c r="W129" s="79"/>
      <c r="X129" s="17"/>
      <c r="Y129" s="17"/>
      <c r="Z129" s="17"/>
      <c r="AA129" s="17"/>
      <c r="AB129" s="17"/>
      <c r="AC129" s="17"/>
      <c r="AD129" s="83"/>
      <c r="AE129" s="83"/>
      <c r="AF129" s="83"/>
      <c r="AG129" s="113"/>
      <c r="AH129" s="181"/>
      <c r="AI129" s="115"/>
      <c r="AJ129" s="17"/>
      <c r="AK129" s="17"/>
      <c r="AL129" s="17"/>
      <c r="AM129" s="17"/>
      <c r="AN129" s="17"/>
      <c r="AO129" s="17"/>
      <c r="AP129" s="17"/>
      <c r="AQ129" s="17"/>
      <c r="AR129" s="17"/>
      <c r="AS129" s="17"/>
    </row>
    <row r="130" ht="17" customHeight="1">
      <c r="A130" s="17"/>
      <c r="B130" s="17"/>
      <c r="C130" s="17"/>
      <c r="D130" s="17"/>
      <c r="E130" s="17"/>
      <c r="F130" s="17"/>
      <c r="G130" s="17"/>
      <c r="H130" s="17"/>
      <c r="I130" s="17"/>
      <c r="J130" s="17"/>
      <c r="K130" s="17"/>
      <c r="L130" s="113"/>
      <c r="M130" s="115"/>
      <c r="N130" s="17"/>
      <c r="O130" s="17"/>
      <c r="P130" s="17"/>
      <c r="Q130" s="17"/>
      <c r="R130" s="17"/>
      <c r="S130" s="17"/>
      <c r="T130" s="17"/>
      <c r="U130" s="15"/>
      <c r="V130" s="17"/>
      <c r="W130" s="17"/>
      <c r="X130" s="17"/>
      <c r="Y130" s="17"/>
      <c r="Z130" s="17"/>
      <c r="AA130" s="17"/>
      <c r="AB130" s="17"/>
      <c r="AC130" s="17"/>
      <c r="AD130" s="17"/>
      <c r="AE130" s="17"/>
      <c r="AF130" s="17"/>
      <c r="AG130" s="113"/>
      <c r="AH130" s="181"/>
      <c r="AI130" s="115"/>
      <c r="AJ130" s="17"/>
      <c r="AK130" s="17"/>
      <c r="AL130" s="17"/>
      <c r="AM130" s="17"/>
      <c r="AN130" s="17"/>
      <c r="AO130" s="17"/>
      <c r="AP130" s="17"/>
      <c r="AQ130" s="17"/>
      <c r="AR130" s="17"/>
      <c r="AS130"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AS23"/>
  <sheetViews>
    <sheetView workbookViewId="0" showGridLines="0" defaultGridColor="1"/>
  </sheetViews>
  <sheetFormatPr defaultColWidth="10.8333" defaultRowHeight="16" customHeight="1" outlineLevelRow="0" outlineLevelCol="0"/>
  <cols>
    <col min="1" max="1" width="9.5" style="230" customWidth="1"/>
    <col min="2" max="2" width="13.1719" style="230" customWidth="1"/>
    <col min="3" max="3" width="6" style="230" customWidth="1"/>
    <col min="4" max="4" width="16.5" style="230" customWidth="1"/>
    <col min="5" max="5" width="11.1719" style="230" customWidth="1"/>
    <col min="6" max="6" width="7.67188" style="230" customWidth="1"/>
    <col min="7" max="7" width="17.6719" style="230" customWidth="1"/>
    <col min="8" max="8" width="16.6719" style="230" customWidth="1"/>
    <col min="9" max="9" width="7.35156" style="230" customWidth="1"/>
    <col min="10" max="10" width="5.85156" style="230" customWidth="1"/>
    <col min="11" max="12" width="5.17188" style="230" customWidth="1"/>
    <col min="13" max="13" width="12.5" style="230" customWidth="1"/>
    <col min="14" max="14" width="5.5" style="230" customWidth="1"/>
    <col min="15" max="15" width="8.85156" style="230" customWidth="1"/>
    <col min="16" max="16" width="6" style="230" customWidth="1"/>
    <col min="17" max="17" width="6.85156" style="230" customWidth="1"/>
    <col min="18" max="18" width="7.85156" style="230" customWidth="1"/>
    <col min="19" max="19" width="10.1719" style="230" customWidth="1"/>
    <col min="20" max="20" width="11.1719" style="230" customWidth="1"/>
    <col min="21" max="21" width="9.35156" style="230" customWidth="1"/>
    <col min="22" max="22" width="8.35156" style="230" customWidth="1"/>
    <col min="23" max="23" width="9.85156" style="230" customWidth="1"/>
    <col min="24" max="24" width="8.35156" style="230" customWidth="1"/>
    <col min="25" max="25" width="19.5" style="230" customWidth="1"/>
    <col min="26" max="26" width="14.1719" style="230" customWidth="1"/>
    <col min="27" max="27" width="10.8516" style="230" customWidth="1"/>
    <col min="28" max="28" width="9.85156" style="230" customWidth="1"/>
    <col min="29" max="29" width="8.67188" style="230" customWidth="1"/>
    <col min="30" max="30" width="16.6719" style="230" customWidth="1"/>
    <col min="31" max="31" width="7.85156" style="230" customWidth="1"/>
    <col min="32" max="32" width="16" style="230" customWidth="1"/>
    <col min="33" max="33" width="17.8516" style="230" customWidth="1"/>
    <col min="34" max="34" width="14.6719" style="230" customWidth="1"/>
    <col min="35" max="35" width="11" style="230" customWidth="1"/>
    <col min="36" max="36" width="11.1719" style="230" customWidth="1"/>
    <col min="37" max="37" width="7.85156" style="230" customWidth="1"/>
    <col min="38" max="39" width="10.8516" style="230" customWidth="1"/>
    <col min="40" max="40" width="7.35156" style="230" customWidth="1"/>
    <col min="41" max="41" width="10.8516" style="230" customWidth="1"/>
    <col min="42" max="42" width="9.17188" style="230" customWidth="1"/>
    <col min="43" max="43" width="10.8516" style="230" customWidth="1"/>
    <col min="44" max="44" width="12.5" style="230" customWidth="1"/>
    <col min="45" max="45" width="13" style="230" customWidth="1"/>
    <col min="46" max="16384" width="10.8516" style="230" customWidth="1"/>
  </cols>
  <sheetData>
    <row r="1" ht="47" customHeight="1">
      <c r="A1" t="s" s="153">
        <v>6</v>
      </c>
      <c r="B1" t="s" s="153">
        <v>7</v>
      </c>
      <c r="C1" t="s" s="153">
        <v>8</v>
      </c>
      <c r="D1" t="s" s="154">
        <v>9</v>
      </c>
      <c r="E1" t="s" s="154">
        <v>647</v>
      </c>
      <c r="F1" t="s" s="154">
        <v>648</v>
      </c>
      <c r="G1" t="s" s="153">
        <v>10</v>
      </c>
      <c r="H1" t="s" s="154">
        <v>11</v>
      </c>
      <c r="I1" t="s" s="154">
        <v>649</v>
      </c>
      <c r="J1" t="s" s="154">
        <v>650</v>
      </c>
      <c r="K1" t="s" s="154">
        <v>651</v>
      </c>
      <c r="L1" t="s" s="154">
        <v>652</v>
      </c>
      <c r="M1" t="s" s="154">
        <v>653</v>
      </c>
      <c r="N1" t="s" s="154">
        <v>99</v>
      </c>
      <c r="O1" t="s" s="154">
        <v>102</v>
      </c>
      <c r="P1" t="s" s="154">
        <v>654</v>
      </c>
      <c r="Q1" t="s" s="154">
        <v>32</v>
      </c>
      <c r="R1" t="s" s="154">
        <v>33</v>
      </c>
      <c r="S1" t="s" s="154">
        <v>14</v>
      </c>
      <c r="T1" t="s" s="154">
        <v>655</v>
      </c>
      <c r="U1" t="s" s="154">
        <v>656</v>
      </c>
      <c r="V1" t="s" s="154">
        <v>106</v>
      </c>
      <c r="W1" t="s" s="154">
        <v>107</v>
      </c>
      <c r="X1" t="s" s="154">
        <v>657</v>
      </c>
      <c r="Y1" t="s" s="154">
        <v>19</v>
      </c>
      <c r="Z1" t="s" s="154">
        <v>20</v>
      </c>
      <c r="AA1" t="s" s="154">
        <v>108</v>
      </c>
      <c r="AB1" t="s" s="154">
        <v>35</v>
      </c>
      <c r="AC1" t="s" s="154">
        <v>36</v>
      </c>
      <c r="AD1" t="s" s="154">
        <v>658</v>
      </c>
      <c r="AE1" t="s" s="154">
        <v>659</v>
      </c>
      <c r="AF1" t="s" s="154">
        <v>660</v>
      </c>
      <c r="AG1" t="s" s="153">
        <v>661</v>
      </c>
      <c r="AH1" t="s" s="153">
        <v>109</v>
      </c>
      <c r="AI1" t="s" s="153">
        <v>110</v>
      </c>
      <c r="AJ1" t="s" s="154">
        <v>111</v>
      </c>
      <c r="AK1" t="s" s="154">
        <v>112</v>
      </c>
      <c r="AL1" t="s" s="154">
        <v>113</v>
      </c>
      <c r="AM1" t="s" s="154">
        <v>114</v>
      </c>
      <c r="AN1" t="s" s="154">
        <v>115</v>
      </c>
      <c r="AO1" t="s" s="154">
        <v>116</v>
      </c>
      <c r="AP1" t="s" s="154">
        <v>35</v>
      </c>
      <c r="AQ1" t="s" s="154">
        <v>36</v>
      </c>
      <c r="AR1" t="s" s="154">
        <v>117</v>
      </c>
      <c r="AS1" t="s" s="154">
        <v>118</v>
      </c>
    </row>
    <row r="2" ht="47" customHeight="1">
      <c r="A2" t="s" s="155">
        <v>119</v>
      </c>
      <c r="B2" t="s" s="156">
        <v>120</v>
      </c>
      <c r="C2" s="157"/>
      <c r="D2" s="158"/>
      <c r="E2" t="s" s="159">
        <v>662</v>
      </c>
      <c r="F2" s="158"/>
      <c r="G2" s="157"/>
      <c r="H2" s="158"/>
      <c r="I2" s="158"/>
      <c r="J2" s="158"/>
      <c r="K2" s="158"/>
      <c r="L2" s="158"/>
      <c r="M2" t="s" s="160">
        <v>663</v>
      </c>
      <c r="N2" s="158"/>
      <c r="O2" s="158"/>
      <c r="P2" s="158"/>
      <c r="Q2" s="158"/>
      <c r="R2" s="158"/>
      <c r="S2" t="s" s="161">
        <v>121</v>
      </c>
      <c r="T2" s="158"/>
      <c r="U2" t="s" s="162">
        <v>122</v>
      </c>
      <c r="V2" t="s" s="163">
        <v>123</v>
      </c>
      <c r="W2" t="s" s="164">
        <v>664</v>
      </c>
      <c r="X2" s="158"/>
      <c r="Y2" s="158"/>
      <c r="Z2" s="158"/>
      <c r="AA2" s="158"/>
      <c r="AB2" s="158"/>
      <c r="AC2" s="158"/>
      <c r="AD2" s="158"/>
      <c r="AE2" s="157"/>
      <c r="AF2" s="165"/>
      <c r="AG2" s="166"/>
      <c r="AH2" s="157"/>
      <c r="AI2" s="157"/>
      <c r="AJ2" s="157"/>
      <c r="AK2" s="157"/>
      <c r="AL2" s="157"/>
      <c r="AM2" s="157"/>
      <c r="AN2" s="157"/>
      <c r="AO2" s="157"/>
      <c r="AP2" s="157"/>
      <c r="AQ2" s="157"/>
      <c r="AR2" s="157"/>
      <c r="AS2" s="157"/>
    </row>
    <row r="3" ht="16" customHeight="1">
      <c r="A3" t="s" s="167">
        <v>937</v>
      </c>
      <c r="B3" t="s" s="168">
        <v>938</v>
      </c>
      <c r="C3" s="170"/>
      <c r="D3" t="s" s="168">
        <v>939</v>
      </c>
      <c r="E3" s="170"/>
      <c r="F3" s="169">
        <v>570</v>
      </c>
      <c r="G3" t="s" s="168">
        <v>940</v>
      </c>
      <c r="H3" t="s" s="171">
        <v>941</v>
      </c>
      <c r="I3" s="172"/>
      <c r="J3" s="173">
        <v>1</v>
      </c>
      <c r="K3" s="172"/>
      <c r="L3" s="172"/>
      <c r="M3" s="173">
        <v>1</v>
      </c>
      <c r="N3" s="172"/>
      <c r="O3" s="172"/>
      <c r="P3" s="172"/>
      <c r="Q3" s="172"/>
      <c r="R3" s="172"/>
      <c r="S3" s="173">
        <v>46</v>
      </c>
      <c r="T3" s="173">
        <v>1865</v>
      </c>
      <c r="U3" s="173">
        <v>1</v>
      </c>
      <c r="V3" s="172"/>
      <c r="W3" s="172"/>
      <c r="X3" s="172"/>
      <c r="Y3" t="s" s="171">
        <v>703</v>
      </c>
      <c r="Z3" t="s" s="171">
        <v>418</v>
      </c>
      <c r="AA3" s="173">
        <v>1</v>
      </c>
      <c r="AB3" s="173">
        <v>1</v>
      </c>
      <c r="AC3" s="172"/>
      <c r="AD3" s="169">
        <v>1</v>
      </c>
      <c r="AE3" s="172"/>
      <c r="AF3" t="s" s="171">
        <v>37</v>
      </c>
      <c r="AG3" t="s" s="167">
        <v>671</v>
      </c>
      <c r="AH3" s="170"/>
      <c r="AI3" s="174"/>
      <c r="AJ3" s="175"/>
      <c r="AK3" s="175"/>
      <c r="AL3" s="175"/>
      <c r="AM3" s="175"/>
      <c r="AN3" s="175"/>
      <c r="AO3" s="175"/>
      <c r="AP3" s="175"/>
      <c r="AQ3" s="175"/>
      <c r="AR3" s="175"/>
      <c r="AS3" s="175"/>
    </row>
    <row r="4" ht="19" customHeight="1">
      <c r="A4" t="s" s="167">
        <v>937</v>
      </c>
      <c r="B4" t="s" s="167">
        <v>938</v>
      </c>
      <c r="C4" s="105"/>
      <c r="D4" t="s" s="167">
        <v>939</v>
      </c>
      <c r="E4" s="105"/>
      <c r="F4" s="108">
        <v>570</v>
      </c>
      <c r="G4" t="s" s="167">
        <v>940</v>
      </c>
      <c r="H4" t="s" s="176">
        <v>942</v>
      </c>
      <c r="I4" s="97">
        <v>1</v>
      </c>
      <c r="J4" s="98"/>
      <c r="K4" s="98"/>
      <c r="L4" s="98"/>
      <c r="M4" s="98"/>
      <c r="N4" s="97">
        <v>1</v>
      </c>
      <c r="O4" s="98"/>
      <c r="P4" s="98"/>
      <c r="Q4" s="98"/>
      <c r="R4" s="98"/>
      <c r="S4" s="97">
        <v>44</v>
      </c>
      <c r="T4" s="97">
        <v>1867</v>
      </c>
      <c r="U4" s="200">
        <v>1</v>
      </c>
      <c r="V4" s="98"/>
      <c r="W4" s="98"/>
      <c r="X4" s="97">
        <v>16</v>
      </c>
      <c r="Y4" t="s" s="176">
        <v>943</v>
      </c>
      <c r="Z4" t="s" s="176">
        <v>944</v>
      </c>
      <c r="AA4" s="97">
        <v>1</v>
      </c>
      <c r="AB4" s="98"/>
      <c r="AC4" s="97">
        <v>1</v>
      </c>
      <c r="AD4" s="108">
        <v>1</v>
      </c>
      <c r="AE4" s="98"/>
      <c r="AF4" t="s" s="176">
        <v>37</v>
      </c>
      <c r="AG4" t="s" s="167">
        <v>671</v>
      </c>
      <c r="AH4" s="105"/>
      <c r="AI4" s="179"/>
      <c r="AJ4" s="180"/>
      <c r="AK4" s="180"/>
      <c r="AL4" s="180"/>
      <c r="AM4" s="180"/>
      <c r="AN4" s="180"/>
      <c r="AO4" s="180"/>
      <c r="AP4" s="180"/>
      <c r="AQ4" s="180"/>
      <c r="AR4" s="180"/>
      <c r="AS4" s="180"/>
    </row>
    <row r="5" ht="19" customHeight="1">
      <c r="A5" t="s" s="167">
        <v>937</v>
      </c>
      <c r="B5" t="s" s="167">
        <v>938</v>
      </c>
      <c r="C5" s="105"/>
      <c r="D5" t="s" s="167">
        <v>939</v>
      </c>
      <c r="E5" s="105"/>
      <c r="F5" s="108">
        <v>570</v>
      </c>
      <c r="G5" t="s" s="167">
        <v>599</v>
      </c>
      <c r="H5" t="s" s="176">
        <v>945</v>
      </c>
      <c r="I5" s="97">
        <v>1</v>
      </c>
      <c r="J5" s="98"/>
      <c r="K5" s="98"/>
      <c r="L5" s="98"/>
      <c r="M5" s="98"/>
      <c r="N5" s="98"/>
      <c r="O5" s="98"/>
      <c r="P5" s="98"/>
      <c r="Q5" s="98"/>
      <c r="R5" s="97">
        <v>1</v>
      </c>
      <c r="S5" s="97">
        <v>37</v>
      </c>
      <c r="T5" s="97">
        <v>1874</v>
      </c>
      <c r="U5" s="98"/>
      <c r="V5" s="177">
        <v>1</v>
      </c>
      <c r="W5" s="98"/>
      <c r="X5" s="98"/>
      <c r="Y5" t="s" s="176">
        <v>159</v>
      </c>
      <c r="Z5" t="s" s="176">
        <v>178</v>
      </c>
      <c r="AA5" s="97">
        <v>1</v>
      </c>
      <c r="AB5" s="98"/>
      <c r="AC5" s="97">
        <v>1</v>
      </c>
      <c r="AD5" s="105"/>
      <c r="AE5" s="97">
        <v>1</v>
      </c>
      <c r="AF5" t="s" s="176">
        <v>924</v>
      </c>
      <c r="AG5" t="s" s="176">
        <v>946</v>
      </c>
      <c r="AH5" s="105"/>
      <c r="AI5" s="115"/>
      <c r="AJ5" s="17"/>
      <c r="AK5" s="17"/>
      <c r="AL5" s="17"/>
      <c r="AM5" s="17"/>
      <c r="AN5" s="17"/>
      <c r="AO5" s="17"/>
      <c r="AP5" s="17"/>
      <c r="AQ5" s="17"/>
      <c r="AR5" s="17"/>
      <c r="AS5" s="17"/>
    </row>
    <row r="6" ht="19" customHeight="1">
      <c r="A6" t="s" s="167">
        <v>937</v>
      </c>
      <c r="B6" t="s" s="167">
        <v>938</v>
      </c>
      <c r="C6" s="105"/>
      <c r="D6" t="s" s="167">
        <v>939</v>
      </c>
      <c r="E6" s="105"/>
      <c r="F6" s="108">
        <v>570</v>
      </c>
      <c r="G6" t="s" s="167">
        <v>947</v>
      </c>
      <c r="H6" t="s" s="176">
        <v>948</v>
      </c>
      <c r="I6" s="97">
        <v>1</v>
      </c>
      <c r="J6" s="98"/>
      <c r="K6" s="98"/>
      <c r="L6" s="98"/>
      <c r="M6" s="98"/>
      <c r="N6" s="98"/>
      <c r="O6" s="98"/>
      <c r="P6" s="98"/>
      <c r="Q6" s="98"/>
      <c r="R6" s="97">
        <v>1</v>
      </c>
      <c r="S6" s="97">
        <v>30</v>
      </c>
      <c r="T6" s="97">
        <v>1881</v>
      </c>
      <c r="U6" s="98"/>
      <c r="V6" s="177">
        <v>1</v>
      </c>
      <c r="W6" s="98"/>
      <c r="X6" s="98"/>
      <c r="Y6" t="s" s="176">
        <v>949</v>
      </c>
      <c r="Z6" t="s" s="176">
        <v>178</v>
      </c>
      <c r="AA6" s="97">
        <v>1</v>
      </c>
      <c r="AB6" s="98"/>
      <c r="AC6" s="97">
        <v>1</v>
      </c>
      <c r="AD6" s="105"/>
      <c r="AE6" s="97">
        <v>1</v>
      </c>
      <c r="AF6" t="s" s="176">
        <v>697</v>
      </c>
      <c r="AG6" t="s" s="176">
        <v>950</v>
      </c>
      <c r="AH6" s="105"/>
      <c r="AI6" s="115"/>
      <c r="AJ6" s="17"/>
      <c r="AK6" s="17"/>
      <c r="AL6" s="17"/>
      <c r="AM6" s="17"/>
      <c r="AN6" s="17"/>
      <c r="AO6" s="17"/>
      <c r="AP6" s="17"/>
      <c r="AQ6" s="17"/>
      <c r="AR6" s="17"/>
      <c r="AS6" s="17"/>
    </row>
    <row r="7" ht="19" customHeight="1">
      <c r="A7" t="s" s="153">
        <v>937</v>
      </c>
      <c r="B7" t="s" s="153">
        <v>938</v>
      </c>
      <c r="C7" s="183"/>
      <c r="D7" t="s" s="153">
        <v>939</v>
      </c>
      <c r="E7" s="183"/>
      <c r="F7" s="182">
        <v>570</v>
      </c>
      <c r="G7" t="s" s="153">
        <v>951</v>
      </c>
      <c r="H7" t="s" s="154">
        <v>881</v>
      </c>
      <c r="I7" s="184">
        <v>1</v>
      </c>
      <c r="J7" s="185"/>
      <c r="K7" s="185"/>
      <c r="L7" s="185"/>
      <c r="M7" s="185"/>
      <c r="N7" s="185"/>
      <c r="O7" s="185"/>
      <c r="P7" s="185"/>
      <c r="Q7" s="185"/>
      <c r="R7" s="184">
        <v>1</v>
      </c>
      <c r="S7" s="184">
        <v>18</v>
      </c>
      <c r="T7" s="184">
        <v>1893</v>
      </c>
      <c r="U7" s="185"/>
      <c r="V7" s="186">
        <v>1</v>
      </c>
      <c r="W7" s="185"/>
      <c r="X7" s="185"/>
      <c r="Y7" t="s" s="154">
        <v>750</v>
      </c>
      <c r="Z7" t="s" s="154">
        <v>178</v>
      </c>
      <c r="AA7" s="184">
        <v>1</v>
      </c>
      <c r="AB7" s="185"/>
      <c r="AC7" s="184">
        <v>1</v>
      </c>
      <c r="AD7" s="183"/>
      <c r="AE7" s="184">
        <v>1</v>
      </c>
      <c r="AF7" t="s" s="154">
        <v>697</v>
      </c>
      <c r="AG7" t="s" s="154">
        <v>144</v>
      </c>
      <c r="AH7" s="183"/>
      <c r="AI7" s="188"/>
      <c r="AJ7" s="189"/>
      <c r="AK7" s="189"/>
      <c r="AL7" s="189"/>
      <c r="AM7" s="189"/>
      <c r="AN7" s="189"/>
      <c r="AO7" s="189"/>
      <c r="AP7" s="189"/>
      <c r="AQ7" s="189"/>
      <c r="AR7" s="189"/>
      <c r="AS7" s="189"/>
    </row>
    <row r="8" ht="18" customHeight="1">
      <c r="A8" t="s" s="168">
        <v>952</v>
      </c>
      <c r="B8" t="s" s="168">
        <v>953</v>
      </c>
      <c r="C8" s="170"/>
      <c r="D8" t="s" s="168">
        <v>939</v>
      </c>
      <c r="E8" s="170"/>
      <c r="F8" s="169">
        <v>609</v>
      </c>
      <c r="G8" t="s" s="168">
        <v>634</v>
      </c>
      <c r="H8" t="s" s="171">
        <v>954</v>
      </c>
      <c r="I8" s="172"/>
      <c r="J8" s="173">
        <v>1</v>
      </c>
      <c r="K8" s="172"/>
      <c r="L8" s="172"/>
      <c r="M8" s="173">
        <v>1</v>
      </c>
      <c r="N8" s="172"/>
      <c r="O8" s="172"/>
      <c r="P8" s="172"/>
      <c r="Q8" s="172"/>
      <c r="R8" s="172"/>
      <c r="S8" s="173">
        <v>74</v>
      </c>
      <c r="T8" s="173">
        <v>1837</v>
      </c>
      <c r="U8" s="172"/>
      <c r="V8" s="173">
        <v>1</v>
      </c>
      <c r="W8" s="231"/>
      <c r="X8" s="172"/>
      <c r="Y8" t="s" s="171">
        <v>955</v>
      </c>
      <c r="Z8" t="s" s="171">
        <v>956</v>
      </c>
      <c r="AA8" s="173">
        <v>1</v>
      </c>
      <c r="AB8" s="173">
        <v>1</v>
      </c>
      <c r="AC8" s="172"/>
      <c r="AD8" s="169">
        <v>1</v>
      </c>
      <c r="AE8" s="172"/>
      <c r="AF8" t="s" s="171">
        <v>37</v>
      </c>
      <c r="AG8" t="s" s="171">
        <v>671</v>
      </c>
      <c r="AH8" s="170"/>
      <c r="AI8" s="194"/>
      <c r="AJ8" s="195"/>
      <c r="AK8" s="195"/>
      <c r="AL8" s="195"/>
      <c r="AM8" s="195"/>
      <c r="AN8" s="195"/>
      <c r="AO8" s="195"/>
      <c r="AP8" s="195"/>
      <c r="AQ8" s="195"/>
      <c r="AR8" s="195"/>
      <c r="AS8" s="195"/>
    </row>
    <row r="9" ht="19" customHeight="1">
      <c r="A9" t="s" s="167">
        <v>952</v>
      </c>
      <c r="B9" t="s" s="167">
        <v>953</v>
      </c>
      <c r="C9" s="105"/>
      <c r="D9" t="s" s="167">
        <v>939</v>
      </c>
      <c r="E9" s="105"/>
      <c r="F9" s="108">
        <v>609</v>
      </c>
      <c r="G9" t="s" s="167">
        <v>634</v>
      </c>
      <c r="H9" t="s" s="176">
        <v>957</v>
      </c>
      <c r="I9" s="98"/>
      <c r="J9" s="97">
        <v>1</v>
      </c>
      <c r="K9" s="98"/>
      <c r="L9" s="98"/>
      <c r="M9" s="98"/>
      <c r="N9" s="98"/>
      <c r="O9" s="98"/>
      <c r="P9" s="98"/>
      <c r="Q9" s="97">
        <v>1</v>
      </c>
      <c r="R9" s="98"/>
      <c r="S9" s="97">
        <v>67</v>
      </c>
      <c r="T9" s="97">
        <v>1844</v>
      </c>
      <c r="U9" s="98"/>
      <c r="V9" s="97">
        <v>1</v>
      </c>
      <c r="W9" s="98"/>
      <c r="X9" s="98"/>
      <c r="Y9" t="s" s="176">
        <v>958</v>
      </c>
      <c r="Z9" t="s" s="176">
        <v>959</v>
      </c>
      <c r="AA9" s="97">
        <v>1</v>
      </c>
      <c r="AB9" s="97">
        <v>1</v>
      </c>
      <c r="AC9" s="98"/>
      <c r="AD9" s="108">
        <v>1</v>
      </c>
      <c r="AE9" s="98"/>
      <c r="AF9" t="s" s="176">
        <v>37</v>
      </c>
      <c r="AG9" t="s" s="176">
        <v>671</v>
      </c>
      <c r="AH9" t="s" s="167">
        <v>386</v>
      </c>
      <c r="AI9" s="115"/>
      <c r="AJ9" s="17"/>
      <c r="AK9" s="17"/>
      <c r="AL9" s="17"/>
      <c r="AM9" s="17"/>
      <c r="AN9" s="17"/>
      <c r="AO9" s="17"/>
      <c r="AP9" s="17"/>
      <c r="AQ9" s="17"/>
      <c r="AR9" s="17"/>
      <c r="AS9" s="17"/>
    </row>
    <row r="10" ht="19" customHeight="1">
      <c r="A10" t="s" s="167">
        <v>952</v>
      </c>
      <c r="B10" t="s" s="167">
        <v>953</v>
      </c>
      <c r="C10" s="105"/>
      <c r="D10" t="s" s="167">
        <v>939</v>
      </c>
      <c r="E10" s="105"/>
      <c r="F10" s="108">
        <v>609</v>
      </c>
      <c r="G10" t="s" s="167">
        <v>634</v>
      </c>
      <c r="H10" t="s" s="176">
        <v>960</v>
      </c>
      <c r="I10" s="97">
        <v>1</v>
      </c>
      <c r="J10" s="98"/>
      <c r="K10" s="98"/>
      <c r="L10" s="98"/>
      <c r="M10" s="98"/>
      <c r="N10" s="98"/>
      <c r="O10" s="98"/>
      <c r="P10" s="98"/>
      <c r="Q10" s="97">
        <v>1</v>
      </c>
      <c r="R10" s="98"/>
      <c r="S10" s="97">
        <v>69</v>
      </c>
      <c r="T10" s="97">
        <v>1842</v>
      </c>
      <c r="U10" s="98"/>
      <c r="V10" s="177">
        <v>1</v>
      </c>
      <c r="W10" s="98"/>
      <c r="X10" s="98"/>
      <c r="Y10" s="98"/>
      <c r="Z10" s="98"/>
      <c r="AA10" s="98"/>
      <c r="AB10" s="98"/>
      <c r="AC10" s="98"/>
      <c r="AD10" s="108">
        <v>1</v>
      </c>
      <c r="AE10" s="98"/>
      <c r="AF10" t="s" s="176">
        <v>37</v>
      </c>
      <c r="AG10" t="s" s="176">
        <v>671</v>
      </c>
      <c r="AH10" t="s" s="167">
        <v>961</v>
      </c>
      <c r="AI10" s="115"/>
      <c r="AJ10" s="17"/>
      <c r="AK10" s="17"/>
      <c r="AL10" s="17"/>
      <c r="AM10" s="17"/>
      <c r="AN10" s="17"/>
      <c r="AO10" s="17"/>
      <c r="AP10" s="17"/>
      <c r="AQ10" s="17"/>
      <c r="AR10" s="17"/>
      <c r="AS10" s="17"/>
    </row>
    <row r="11" ht="19" customHeight="1">
      <c r="A11" t="s" s="167">
        <v>952</v>
      </c>
      <c r="B11" t="s" s="167">
        <v>953</v>
      </c>
      <c r="C11" s="105"/>
      <c r="D11" t="s" s="167">
        <v>939</v>
      </c>
      <c r="E11" s="105"/>
      <c r="F11" s="108">
        <v>609</v>
      </c>
      <c r="G11" t="s" s="167">
        <v>153</v>
      </c>
      <c r="H11" t="s" s="176">
        <v>253</v>
      </c>
      <c r="I11" s="97">
        <v>1</v>
      </c>
      <c r="J11" s="98"/>
      <c r="K11" s="98"/>
      <c r="L11" s="98"/>
      <c r="M11" s="98"/>
      <c r="N11" s="98"/>
      <c r="O11" s="98"/>
      <c r="P11" s="98"/>
      <c r="Q11" s="98"/>
      <c r="R11" s="97">
        <v>1</v>
      </c>
      <c r="S11" s="97">
        <v>36</v>
      </c>
      <c r="T11" s="97">
        <v>1875</v>
      </c>
      <c r="U11" s="98"/>
      <c r="V11" s="177">
        <v>1</v>
      </c>
      <c r="W11" s="98"/>
      <c r="X11" s="98"/>
      <c r="Y11" t="s" s="176">
        <v>33</v>
      </c>
      <c r="Z11" t="s" s="176">
        <v>178</v>
      </c>
      <c r="AA11" s="97">
        <v>1</v>
      </c>
      <c r="AB11" s="98"/>
      <c r="AC11" s="97">
        <v>1</v>
      </c>
      <c r="AD11" s="105"/>
      <c r="AE11" s="97">
        <v>1</v>
      </c>
      <c r="AF11" t="s" s="176">
        <v>166</v>
      </c>
      <c r="AG11" t="s" s="176">
        <v>962</v>
      </c>
      <c r="AH11" s="105"/>
      <c r="AI11" s="115"/>
      <c r="AJ11" s="17"/>
      <c r="AK11" s="17"/>
      <c r="AL11" s="17"/>
      <c r="AM11" s="17"/>
      <c r="AN11" s="17"/>
      <c r="AO11" s="17"/>
      <c r="AP11" s="17"/>
      <c r="AQ11" s="17"/>
      <c r="AR11" s="17"/>
      <c r="AS11" s="17"/>
    </row>
    <row r="12" ht="19" customHeight="1">
      <c r="A12" t="s" s="153">
        <v>952</v>
      </c>
      <c r="B12" t="s" s="153">
        <v>953</v>
      </c>
      <c r="C12" s="183"/>
      <c r="D12" t="s" s="153">
        <v>939</v>
      </c>
      <c r="E12" s="183"/>
      <c r="F12" s="182">
        <v>609</v>
      </c>
      <c r="G12" t="s" s="153">
        <v>153</v>
      </c>
      <c r="H12" t="s" s="154">
        <v>645</v>
      </c>
      <c r="I12" s="184">
        <v>1</v>
      </c>
      <c r="J12" s="185"/>
      <c r="K12" s="185"/>
      <c r="L12" s="185"/>
      <c r="M12" s="185"/>
      <c r="N12" s="185"/>
      <c r="O12" s="185"/>
      <c r="P12" s="185"/>
      <c r="Q12" s="185"/>
      <c r="R12" s="184">
        <v>1</v>
      </c>
      <c r="S12" s="184">
        <v>30</v>
      </c>
      <c r="T12" s="184">
        <v>1881</v>
      </c>
      <c r="U12" s="185"/>
      <c r="V12" s="186">
        <v>1</v>
      </c>
      <c r="W12" s="185"/>
      <c r="X12" s="185"/>
      <c r="Y12" t="s" s="154">
        <v>33</v>
      </c>
      <c r="Z12" t="s" s="154">
        <v>178</v>
      </c>
      <c r="AA12" s="184">
        <v>1</v>
      </c>
      <c r="AB12" s="183"/>
      <c r="AC12" s="184">
        <v>1</v>
      </c>
      <c r="AD12" s="183"/>
      <c r="AE12" s="184">
        <v>1</v>
      </c>
      <c r="AF12" t="s" s="154">
        <v>166</v>
      </c>
      <c r="AG12" t="s" s="154">
        <v>962</v>
      </c>
      <c r="AH12" s="183"/>
      <c r="AI12" s="188"/>
      <c r="AJ12" s="189"/>
      <c r="AK12" s="189"/>
      <c r="AL12" s="189"/>
      <c r="AM12" s="189"/>
      <c r="AN12" s="189"/>
      <c r="AO12" s="189"/>
      <c r="AP12" s="189"/>
      <c r="AQ12" s="189"/>
      <c r="AR12" s="189"/>
      <c r="AS12" s="189"/>
    </row>
    <row r="13" ht="17" customHeight="1">
      <c r="A13" t="s" s="168">
        <v>963</v>
      </c>
      <c r="B13" t="s" s="168">
        <v>964</v>
      </c>
      <c r="C13" s="170"/>
      <c r="D13" t="s" s="168">
        <v>939</v>
      </c>
      <c r="E13" s="170"/>
      <c r="F13" s="169">
        <v>572</v>
      </c>
      <c r="G13" t="s" s="168">
        <v>965</v>
      </c>
      <c r="H13" t="s" s="171">
        <v>966</v>
      </c>
      <c r="I13" s="172"/>
      <c r="J13" s="173">
        <v>1</v>
      </c>
      <c r="K13" s="172"/>
      <c r="L13" s="172"/>
      <c r="M13" s="173">
        <v>1</v>
      </c>
      <c r="N13" s="172"/>
      <c r="O13" s="172"/>
      <c r="P13" s="172"/>
      <c r="Q13" s="172"/>
      <c r="R13" s="172"/>
      <c r="S13" s="173">
        <v>67</v>
      </c>
      <c r="T13" s="173">
        <v>1884</v>
      </c>
      <c r="U13" s="172"/>
      <c r="V13" s="172"/>
      <c r="W13" s="173">
        <v>1</v>
      </c>
      <c r="X13" s="172"/>
      <c r="Y13" t="s" s="171">
        <v>703</v>
      </c>
      <c r="Z13" t="s" s="171">
        <v>418</v>
      </c>
      <c r="AA13" s="173">
        <v>1</v>
      </c>
      <c r="AB13" s="173">
        <v>1</v>
      </c>
      <c r="AC13" s="172"/>
      <c r="AD13" s="221">
        <v>1</v>
      </c>
      <c r="AE13" s="172"/>
      <c r="AF13" t="s" s="171">
        <v>37</v>
      </c>
      <c r="AG13" t="s" s="171">
        <v>671</v>
      </c>
      <c r="AH13" s="170"/>
      <c r="AI13" s="174"/>
      <c r="AJ13" s="175"/>
      <c r="AK13" s="175"/>
      <c r="AL13" s="175"/>
      <c r="AM13" s="175"/>
      <c r="AN13" s="175"/>
      <c r="AO13" s="175"/>
      <c r="AP13" s="175"/>
      <c r="AQ13" s="175"/>
      <c r="AR13" s="175"/>
      <c r="AS13" s="175"/>
    </row>
    <row r="14" ht="16" customHeight="1">
      <c r="A14" t="s" s="167">
        <v>963</v>
      </c>
      <c r="B14" t="s" s="167">
        <v>964</v>
      </c>
      <c r="C14" s="105"/>
      <c r="D14" t="s" s="167">
        <v>939</v>
      </c>
      <c r="E14" s="105"/>
      <c r="F14" s="108">
        <v>572</v>
      </c>
      <c r="G14" t="s" s="167">
        <v>965</v>
      </c>
      <c r="H14" t="s" s="176">
        <v>967</v>
      </c>
      <c r="I14" s="97">
        <v>1</v>
      </c>
      <c r="J14" s="98"/>
      <c r="K14" s="98"/>
      <c r="L14" s="98"/>
      <c r="M14" s="98"/>
      <c r="N14" s="98"/>
      <c r="O14" s="97">
        <v>1</v>
      </c>
      <c r="P14" s="98"/>
      <c r="Q14" s="98"/>
      <c r="R14" s="98"/>
      <c r="S14" s="97">
        <v>25</v>
      </c>
      <c r="T14" s="97">
        <v>1886</v>
      </c>
      <c r="U14" s="98"/>
      <c r="V14" s="177">
        <v>1</v>
      </c>
      <c r="W14" s="98"/>
      <c r="X14" s="98"/>
      <c r="Y14" s="98"/>
      <c r="Z14" s="98"/>
      <c r="AA14" s="98"/>
      <c r="AB14" s="98"/>
      <c r="AC14" s="98"/>
      <c r="AD14" s="221">
        <v>1</v>
      </c>
      <c r="AE14" s="98"/>
      <c r="AF14" t="s" s="176">
        <v>37</v>
      </c>
      <c r="AG14" t="s" s="176">
        <v>671</v>
      </c>
      <c r="AH14" s="105"/>
      <c r="AI14" s="216"/>
      <c r="AJ14" s="217"/>
      <c r="AK14" s="217"/>
      <c r="AL14" s="217"/>
      <c r="AM14" s="217"/>
      <c r="AN14" s="217"/>
      <c r="AO14" s="217"/>
      <c r="AP14" s="217"/>
      <c r="AQ14" s="217"/>
      <c r="AR14" s="217"/>
      <c r="AS14" s="217"/>
    </row>
    <row r="15" ht="17" customHeight="1">
      <c r="A15" t="s" s="167">
        <v>963</v>
      </c>
      <c r="B15" t="s" s="167">
        <v>964</v>
      </c>
      <c r="C15" s="105"/>
      <c r="D15" t="s" s="167">
        <v>939</v>
      </c>
      <c r="E15" s="105"/>
      <c r="F15" s="108">
        <v>572</v>
      </c>
      <c r="G15" t="s" s="167">
        <v>968</v>
      </c>
      <c r="H15" t="s" s="167">
        <v>969</v>
      </c>
      <c r="I15" s="108">
        <v>1</v>
      </c>
      <c r="J15" s="105"/>
      <c r="K15" s="105"/>
      <c r="L15" s="105"/>
      <c r="M15" s="105"/>
      <c r="N15" s="105"/>
      <c r="O15" s="98"/>
      <c r="P15" s="98"/>
      <c r="Q15" s="98"/>
      <c r="R15" s="97">
        <v>1</v>
      </c>
      <c r="S15" s="108">
        <v>60</v>
      </c>
      <c r="T15" s="108">
        <v>1851</v>
      </c>
      <c r="U15" s="98"/>
      <c r="V15" s="177">
        <v>1</v>
      </c>
      <c r="W15" s="105"/>
      <c r="X15" s="105"/>
      <c r="Y15" t="s" s="167">
        <v>830</v>
      </c>
      <c r="Z15" t="s" s="167">
        <v>178</v>
      </c>
      <c r="AA15" s="108">
        <v>1</v>
      </c>
      <c r="AB15" s="105"/>
      <c r="AC15" s="108">
        <v>1</v>
      </c>
      <c r="AD15" s="169">
        <v>1</v>
      </c>
      <c r="AE15" s="105"/>
      <c r="AF15" t="s" s="176">
        <v>37</v>
      </c>
      <c r="AG15" t="s" s="176">
        <v>671</v>
      </c>
      <c r="AH15" s="105"/>
      <c r="AI15" s="216"/>
      <c r="AJ15" s="217"/>
      <c r="AK15" s="217"/>
      <c r="AL15" s="217"/>
      <c r="AM15" s="217"/>
      <c r="AN15" s="217"/>
      <c r="AO15" s="217"/>
      <c r="AP15" s="217"/>
      <c r="AQ15" s="217"/>
      <c r="AR15" s="217"/>
      <c r="AS15" s="217"/>
    </row>
    <row r="16" ht="17" customHeight="1">
      <c r="A16" t="s" s="167">
        <v>963</v>
      </c>
      <c r="B16" t="s" s="167">
        <v>964</v>
      </c>
      <c r="C16" s="105"/>
      <c r="D16" t="s" s="167">
        <v>939</v>
      </c>
      <c r="E16" s="105"/>
      <c r="F16" s="108">
        <v>572</v>
      </c>
      <c r="G16" t="s" s="167">
        <v>968</v>
      </c>
      <c r="H16" t="s" s="167">
        <v>202</v>
      </c>
      <c r="I16" s="108">
        <v>1</v>
      </c>
      <c r="J16" s="105"/>
      <c r="K16" s="105"/>
      <c r="L16" s="105"/>
      <c r="M16" s="105"/>
      <c r="N16" s="105"/>
      <c r="O16" s="98"/>
      <c r="P16" s="98"/>
      <c r="Q16" s="98"/>
      <c r="R16" s="97">
        <v>1</v>
      </c>
      <c r="S16" s="97">
        <v>43</v>
      </c>
      <c r="T16" s="97">
        <v>1868</v>
      </c>
      <c r="U16" s="98"/>
      <c r="V16" s="177">
        <v>1</v>
      </c>
      <c r="W16" s="98"/>
      <c r="X16" s="98"/>
      <c r="Y16" t="s" s="167">
        <v>159</v>
      </c>
      <c r="Z16" t="s" s="167">
        <v>178</v>
      </c>
      <c r="AA16" s="108">
        <v>1</v>
      </c>
      <c r="AB16" s="105"/>
      <c r="AC16" s="108">
        <v>1</v>
      </c>
      <c r="AD16" s="105"/>
      <c r="AE16" s="108">
        <v>1</v>
      </c>
      <c r="AF16" t="s" s="176">
        <v>166</v>
      </c>
      <c r="AG16" t="s" s="167">
        <v>970</v>
      </c>
      <c r="AH16" s="105"/>
      <c r="AI16" s="216"/>
      <c r="AJ16" s="217"/>
      <c r="AK16" s="217"/>
      <c r="AL16" s="217"/>
      <c r="AM16" s="217"/>
      <c r="AN16" s="217"/>
      <c r="AO16" s="217"/>
      <c r="AP16" s="217"/>
      <c r="AQ16" s="217"/>
      <c r="AR16" s="217"/>
      <c r="AS16" s="217"/>
    </row>
    <row r="17" ht="18" customHeight="1">
      <c r="A17" t="s" s="153">
        <v>963</v>
      </c>
      <c r="B17" t="s" s="153">
        <v>964</v>
      </c>
      <c r="C17" s="183"/>
      <c r="D17" t="s" s="153">
        <v>939</v>
      </c>
      <c r="E17" s="183"/>
      <c r="F17" s="182">
        <v>572</v>
      </c>
      <c r="G17" t="s" s="153">
        <v>971</v>
      </c>
      <c r="H17" t="s" s="153">
        <v>326</v>
      </c>
      <c r="I17" s="182">
        <v>1</v>
      </c>
      <c r="J17" s="183"/>
      <c r="K17" s="183"/>
      <c r="L17" s="183"/>
      <c r="M17" s="183"/>
      <c r="N17" s="183"/>
      <c r="O17" s="185"/>
      <c r="P17" s="185"/>
      <c r="Q17" s="185"/>
      <c r="R17" s="184">
        <v>1</v>
      </c>
      <c r="S17" s="184">
        <v>36</v>
      </c>
      <c r="T17" s="184">
        <v>1875</v>
      </c>
      <c r="U17" s="185"/>
      <c r="V17" s="186">
        <v>1</v>
      </c>
      <c r="W17" s="185"/>
      <c r="X17" s="185"/>
      <c r="Y17" t="s" s="153">
        <v>162</v>
      </c>
      <c r="Z17" t="s" s="153">
        <v>178</v>
      </c>
      <c r="AA17" s="182">
        <v>1</v>
      </c>
      <c r="AB17" s="183"/>
      <c r="AC17" s="182">
        <v>1</v>
      </c>
      <c r="AD17" s="183"/>
      <c r="AE17" s="182">
        <v>1</v>
      </c>
      <c r="AF17" t="s" s="154">
        <v>71</v>
      </c>
      <c r="AG17" t="s" s="153">
        <v>796</v>
      </c>
      <c r="AH17" s="183"/>
      <c r="AI17" s="218"/>
      <c r="AJ17" s="219"/>
      <c r="AK17" s="219"/>
      <c r="AL17" s="219"/>
      <c r="AM17" s="219"/>
      <c r="AN17" s="219"/>
      <c r="AO17" s="219"/>
      <c r="AP17" s="219"/>
      <c r="AQ17" s="219"/>
      <c r="AR17" s="219"/>
      <c r="AS17" s="219"/>
    </row>
    <row r="18" ht="17" customHeight="1">
      <c r="A18" t="s" s="208">
        <v>285</v>
      </c>
      <c r="B18" s="157"/>
      <c r="C18" s="157"/>
      <c r="D18" s="221">
        <v>17</v>
      </c>
      <c r="E18" s="157"/>
      <c r="F18" s="157"/>
      <c r="G18" s="221">
        <v>9</v>
      </c>
      <c r="H18" s="221">
        <v>15</v>
      </c>
      <c r="I18" s="221">
        <f>SUM(I3:I17)</f>
        <v>11</v>
      </c>
      <c r="J18" s="221">
        <f>SUM(J3:J17)</f>
        <v>4</v>
      </c>
      <c r="K18" s="221">
        <f>SUM(K3:K17)</f>
        <v>0</v>
      </c>
      <c r="L18" s="221">
        <f>SUM(L3:L17)</f>
        <v>0</v>
      </c>
      <c r="M18" s="221">
        <f>SUM(M3:M17)</f>
        <v>3</v>
      </c>
      <c r="N18" s="221">
        <f>SUM(N3:N17)</f>
        <v>1</v>
      </c>
      <c r="O18" s="221">
        <f>SUM(O3:O17)</f>
        <v>1</v>
      </c>
      <c r="P18" s="221">
        <f>SUM(P3:P17)</f>
        <v>0</v>
      </c>
      <c r="Q18" s="221">
        <f>SUM(Q3:Q17)</f>
        <v>2</v>
      </c>
      <c r="R18" s="221">
        <f>SUM(R3:R17)</f>
        <v>8</v>
      </c>
      <c r="S18" s="221">
        <f>SUM(S3:S17)</f>
        <v>682</v>
      </c>
      <c r="T18" s="157"/>
      <c r="U18" s="221">
        <f>SUM(U3:U17)</f>
        <v>2</v>
      </c>
      <c r="V18" s="221">
        <f>SUM(V3:V17)</f>
        <v>12</v>
      </c>
      <c r="W18" s="221">
        <f>SUM(W3:W17)</f>
        <v>1</v>
      </c>
      <c r="X18" s="221">
        <f>SUM(X3:X17)</f>
        <v>16</v>
      </c>
      <c r="Y18" s="157"/>
      <c r="Z18" s="157"/>
      <c r="AA18" s="221">
        <f>SUM(AA3:AA17)</f>
        <v>13</v>
      </c>
      <c r="AB18" s="221">
        <f>SUM(AB3:AB17)</f>
        <v>4</v>
      </c>
      <c r="AC18" s="221">
        <f>SUM(AC3:AC17)</f>
        <v>9</v>
      </c>
      <c r="AD18" s="221">
        <f>SUM(AD3:AD17)</f>
        <v>8</v>
      </c>
      <c r="AE18" s="221">
        <f>SUM(AE3:AE17)</f>
        <v>7</v>
      </c>
      <c r="AF18" s="157"/>
      <c r="AG18" s="157"/>
      <c r="AH18" s="157"/>
      <c r="AI18" s="165"/>
      <c r="AJ18" s="226"/>
      <c r="AK18" s="226"/>
      <c r="AL18" s="226"/>
      <c r="AM18" s="226"/>
      <c r="AN18" s="226"/>
      <c r="AO18" s="226"/>
      <c r="AP18" s="226"/>
      <c r="AQ18" s="226"/>
      <c r="AR18" s="226"/>
      <c r="AS18" s="226"/>
    </row>
    <row r="19" ht="17.5" customHeight="1">
      <c r="A19" s="195"/>
      <c r="B19" s="195"/>
      <c r="C19" s="195"/>
      <c r="D19" s="195"/>
      <c r="E19" s="195"/>
      <c r="F19" s="195"/>
      <c r="G19" s="195"/>
      <c r="H19" s="195"/>
      <c r="I19" s="195"/>
      <c r="J19" s="195"/>
      <c r="K19" s="195"/>
      <c r="L19" s="227"/>
      <c r="M19" s="194"/>
      <c r="N19" s="195"/>
      <c r="O19" s="195"/>
      <c r="P19" s="195"/>
      <c r="Q19" s="195"/>
      <c r="R19" s="195"/>
      <c r="S19" s="228"/>
      <c r="T19" s="228"/>
      <c r="U19" s="195"/>
      <c r="V19" s="195"/>
      <c r="W19" s="195"/>
      <c r="X19" s="228"/>
      <c r="Y19" s="195"/>
      <c r="Z19" s="195"/>
      <c r="AA19" s="195"/>
      <c r="AB19" s="195"/>
      <c r="AC19" s="195"/>
      <c r="AD19" s="195"/>
      <c r="AE19" s="195"/>
      <c r="AF19" s="195"/>
      <c r="AG19" s="227"/>
      <c r="AH19" s="193"/>
      <c r="AI19" s="194"/>
      <c r="AJ19" s="195"/>
      <c r="AK19" s="195"/>
      <c r="AL19" s="195"/>
      <c r="AM19" s="195"/>
      <c r="AN19" s="195"/>
      <c r="AO19" s="195"/>
      <c r="AP19" s="195"/>
      <c r="AQ19" s="195"/>
      <c r="AR19" s="195"/>
      <c r="AS19" s="195"/>
    </row>
    <row r="20" ht="17" customHeight="1">
      <c r="A20" s="17"/>
      <c r="B20" s="17"/>
      <c r="C20" s="17"/>
      <c r="D20" s="17"/>
      <c r="E20" s="17"/>
      <c r="F20" s="17"/>
      <c r="G20" s="17"/>
      <c r="H20" s="17"/>
      <c r="I20" s="79"/>
      <c r="J20" s="79"/>
      <c r="K20" s="79"/>
      <c r="L20" s="113"/>
      <c r="M20" s="115"/>
      <c r="N20" s="17"/>
      <c r="O20" s="17"/>
      <c r="P20" s="17"/>
      <c r="Q20" s="17"/>
      <c r="R20" s="17"/>
      <c r="S20" s="78"/>
      <c r="T20" s="78"/>
      <c r="U20" s="79"/>
      <c r="V20" s="79"/>
      <c r="W20" s="79"/>
      <c r="X20" s="78"/>
      <c r="Y20" s="17"/>
      <c r="Z20" s="17"/>
      <c r="AA20" s="17"/>
      <c r="AB20" s="17"/>
      <c r="AC20" s="17"/>
      <c r="AD20" s="17"/>
      <c r="AE20" s="17"/>
      <c r="AF20" s="17"/>
      <c r="AG20" s="113"/>
      <c r="AH20" s="181"/>
      <c r="AI20" s="115"/>
      <c r="AJ20" s="17"/>
      <c r="AK20" s="17"/>
      <c r="AL20" s="17"/>
      <c r="AM20" s="17"/>
      <c r="AN20" s="17"/>
      <c r="AO20" s="17"/>
      <c r="AP20" s="17"/>
      <c r="AQ20" s="17"/>
      <c r="AR20" s="17"/>
      <c r="AS20" s="17"/>
    </row>
    <row r="21" ht="17" customHeight="1">
      <c r="A21" s="17"/>
      <c r="B21" s="17"/>
      <c r="C21" s="17"/>
      <c r="D21" s="17"/>
      <c r="E21" s="17"/>
      <c r="F21" s="17"/>
      <c r="G21" s="17"/>
      <c r="H21" s="17"/>
      <c r="I21" s="17"/>
      <c r="J21" s="17"/>
      <c r="K21" s="17"/>
      <c r="L21" s="113"/>
      <c r="M21" s="115"/>
      <c r="N21" s="17"/>
      <c r="O21" s="17"/>
      <c r="P21" s="17"/>
      <c r="Q21" s="17"/>
      <c r="R21" s="17"/>
      <c r="S21" s="17"/>
      <c r="T21" s="17"/>
      <c r="U21" s="15"/>
      <c r="V21" s="15"/>
      <c r="W21" s="116"/>
      <c r="X21" s="17"/>
      <c r="Y21" s="17"/>
      <c r="Z21" s="17"/>
      <c r="AA21" s="17"/>
      <c r="AB21" s="17"/>
      <c r="AC21" s="17"/>
      <c r="AD21" s="17"/>
      <c r="AE21" s="17"/>
      <c r="AF21" s="17"/>
      <c r="AG21" s="113"/>
      <c r="AH21" s="181"/>
      <c r="AI21" s="115"/>
      <c r="AJ21" s="17"/>
      <c r="AK21" s="17"/>
      <c r="AL21" s="17"/>
      <c r="AM21" s="17"/>
      <c r="AN21" s="17"/>
      <c r="AO21" s="17"/>
      <c r="AP21" s="17"/>
      <c r="AQ21" s="17"/>
      <c r="AR21" s="17"/>
      <c r="AS21" s="17"/>
    </row>
    <row r="22" ht="17" customHeight="1">
      <c r="A22" s="17"/>
      <c r="B22" s="17"/>
      <c r="C22" s="17"/>
      <c r="D22" s="17"/>
      <c r="E22" s="17"/>
      <c r="F22" s="17"/>
      <c r="G22" s="17"/>
      <c r="H22" s="17"/>
      <c r="I22" s="17"/>
      <c r="J22" s="17"/>
      <c r="K22" s="17"/>
      <c r="L22" s="113"/>
      <c r="M22" s="115"/>
      <c r="N22" s="17"/>
      <c r="O22" s="17"/>
      <c r="P22" s="17"/>
      <c r="Q22" s="17"/>
      <c r="R22" s="17"/>
      <c r="S22" s="17"/>
      <c r="T22" s="17"/>
      <c r="U22" s="79"/>
      <c r="V22" s="79"/>
      <c r="W22" s="79"/>
      <c r="X22" s="17"/>
      <c r="Y22" s="17"/>
      <c r="Z22" s="17"/>
      <c r="AA22" s="17"/>
      <c r="AB22" s="17"/>
      <c r="AC22" s="17"/>
      <c r="AD22" s="83"/>
      <c r="AE22" s="83"/>
      <c r="AF22" s="83"/>
      <c r="AG22" s="113"/>
      <c r="AH22" s="181"/>
      <c r="AI22" s="115"/>
      <c r="AJ22" s="17"/>
      <c r="AK22" s="17"/>
      <c r="AL22" s="17"/>
      <c r="AM22" s="17"/>
      <c r="AN22" s="17"/>
      <c r="AO22" s="17"/>
      <c r="AP22" s="17"/>
      <c r="AQ22" s="17"/>
      <c r="AR22" s="17"/>
      <c r="AS22" s="17"/>
    </row>
    <row r="23" ht="17" customHeight="1">
      <c r="A23" s="17"/>
      <c r="B23" s="17"/>
      <c r="C23" s="17"/>
      <c r="D23" s="17"/>
      <c r="E23" s="17"/>
      <c r="F23" s="17"/>
      <c r="G23" s="17"/>
      <c r="H23" s="17"/>
      <c r="I23" s="17"/>
      <c r="J23" s="17"/>
      <c r="K23" s="17"/>
      <c r="L23" s="113"/>
      <c r="M23" s="115"/>
      <c r="N23" s="17"/>
      <c r="O23" s="17"/>
      <c r="P23" s="17"/>
      <c r="Q23" s="17"/>
      <c r="R23" s="17"/>
      <c r="S23" s="17"/>
      <c r="T23" s="17"/>
      <c r="U23" s="15"/>
      <c r="V23" s="17"/>
      <c r="W23" s="17"/>
      <c r="X23" s="17"/>
      <c r="Y23" s="17"/>
      <c r="Z23" s="17"/>
      <c r="AA23" s="17"/>
      <c r="AB23" s="17"/>
      <c r="AC23" s="17"/>
      <c r="AD23" s="17"/>
      <c r="AE23" s="17"/>
      <c r="AF23" s="17"/>
      <c r="AG23" s="113"/>
      <c r="AH23" s="181"/>
      <c r="AI23" s="115"/>
      <c r="AJ23" s="17"/>
      <c r="AK23" s="17"/>
      <c r="AL23" s="17"/>
      <c r="AM23" s="17"/>
      <c r="AN23" s="17"/>
      <c r="AO23" s="17"/>
      <c r="AP23" s="17"/>
      <c r="AQ23" s="17"/>
      <c r="AR23" s="17"/>
      <c r="AS23"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AS23"/>
  <sheetViews>
    <sheetView workbookViewId="0" showGridLines="0" defaultGridColor="1"/>
  </sheetViews>
  <sheetFormatPr defaultColWidth="10.8333" defaultRowHeight="16" customHeight="1" outlineLevelRow="0" outlineLevelCol="0"/>
  <cols>
    <col min="1" max="1" width="9.5" style="232" customWidth="1"/>
    <col min="2" max="2" width="13.1719" style="232" customWidth="1"/>
    <col min="3" max="3" width="6" style="232" customWidth="1"/>
    <col min="4" max="4" width="16.5" style="232" customWidth="1"/>
    <col min="5" max="5" width="11.1719" style="232" customWidth="1"/>
    <col min="6" max="6" width="7.67188" style="232" customWidth="1"/>
    <col min="7" max="7" width="17.6719" style="232" customWidth="1"/>
    <col min="8" max="8" width="18.8516" style="232" customWidth="1"/>
    <col min="9" max="9" width="7.35156" style="232" customWidth="1"/>
    <col min="10" max="10" width="5.85156" style="232" customWidth="1"/>
    <col min="11" max="12" width="5.17188" style="232" customWidth="1"/>
    <col min="13" max="13" width="12.5" style="232" customWidth="1"/>
    <col min="14" max="14" width="5.5" style="232" customWidth="1"/>
    <col min="15" max="15" width="8.85156" style="232" customWidth="1"/>
    <col min="16" max="16" width="6" style="232" customWidth="1"/>
    <col min="17" max="17" width="6.85156" style="232" customWidth="1"/>
    <col min="18" max="18" width="7.85156" style="232" customWidth="1"/>
    <col min="19" max="19" width="10.1719" style="232" customWidth="1"/>
    <col min="20" max="20" width="11.1719" style="232" customWidth="1"/>
    <col min="21" max="21" width="9.35156" style="232" customWidth="1"/>
    <col min="22" max="22" width="8.35156" style="232" customWidth="1"/>
    <col min="23" max="23" width="9.85156" style="232" customWidth="1"/>
    <col min="24" max="24" width="8.35156" style="232" customWidth="1"/>
    <col min="25" max="25" width="19.5" style="232" customWidth="1"/>
    <col min="26" max="26" width="14.1719" style="232" customWidth="1"/>
    <col min="27" max="27" width="10.8516" style="232" customWidth="1"/>
    <col min="28" max="28" width="9.85156" style="232" customWidth="1"/>
    <col min="29" max="29" width="8.67188" style="232" customWidth="1"/>
    <col min="30" max="30" width="16.6719" style="232" customWidth="1"/>
    <col min="31" max="31" width="7.85156" style="232" customWidth="1"/>
    <col min="32" max="32" width="16" style="232" customWidth="1"/>
    <col min="33" max="33" width="17.8516" style="232" customWidth="1"/>
    <col min="34" max="34" width="14.6719" style="232" customWidth="1"/>
    <col min="35" max="35" width="11" style="232" customWidth="1"/>
    <col min="36" max="36" width="11.1719" style="232" customWidth="1"/>
    <col min="37" max="37" width="7.85156" style="232" customWidth="1"/>
    <col min="38" max="39" width="10.8516" style="232" customWidth="1"/>
    <col min="40" max="40" width="7.35156" style="232" customWidth="1"/>
    <col min="41" max="41" width="10.8516" style="232" customWidth="1"/>
    <col min="42" max="42" width="9.17188" style="232" customWidth="1"/>
    <col min="43" max="43" width="10.8516" style="232" customWidth="1"/>
    <col min="44" max="44" width="12.5" style="232" customWidth="1"/>
    <col min="45" max="45" width="13" style="232" customWidth="1"/>
    <col min="46" max="16384" width="10.8516" style="232" customWidth="1"/>
  </cols>
  <sheetData>
    <row r="1" ht="47" customHeight="1">
      <c r="A1" t="s" s="153">
        <v>6</v>
      </c>
      <c r="B1" t="s" s="153">
        <v>7</v>
      </c>
      <c r="C1" t="s" s="153">
        <v>8</v>
      </c>
      <c r="D1" t="s" s="154">
        <v>9</v>
      </c>
      <c r="E1" t="s" s="154">
        <v>647</v>
      </c>
      <c r="F1" t="s" s="154">
        <v>648</v>
      </c>
      <c r="G1" t="s" s="153">
        <v>10</v>
      </c>
      <c r="H1" t="s" s="154">
        <v>11</v>
      </c>
      <c r="I1" t="s" s="154">
        <v>649</v>
      </c>
      <c r="J1" t="s" s="154">
        <v>650</v>
      </c>
      <c r="K1" t="s" s="154">
        <v>651</v>
      </c>
      <c r="L1" t="s" s="154">
        <v>652</v>
      </c>
      <c r="M1" t="s" s="154">
        <v>653</v>
      </c>
      <c r="N1" t="s" s="154">
        <v>99</v>
      </c>
      <c r="O1" t="s" s="154">
        <v>102</v>
      </c>
      <c r="P1" t="s" s="154">
        <v>654</v>
      </c>
      <c r="Q1" t="s" s="154">
        <v>32</v>
      </c>
      <c r="R1" t="s" s="154">
        <v>33</v>
      </c>
      <c r="S1" t="s" s="154">
        <v>14</v>
      </c>
      <c r="T1" t="s" s="154">
        <v>655</v>
      </c>
      <c r="U1" t="s" s="154">
        <v>656</v>
      </c>
      <c r="V1" t="s" s="154">
        <v>106</v>
      </c>
      <c r="W1" t="s" s="154">
        <v>107</v>
      </c>
      <c r="X1" t="s" s="154">
        <v>657</v>
      </c>
      <c r="Y1" t="s" s="154">
        <v>19</v>
      </c>
      <c r="Z1" t="s" s="154">
        <v>20</v>
      </c>
      <c r="AA1" t="s" s="154">
        <v>108</v>
      </c>
      <c r="AB1" t="s" s="154">
        <v>35</v>
      </c>
      <c r="AC1" t="s" s="154">
        <v>36</v>
      </c>
      <c r="AD1" t="s" s="154">
        <v>658</v>
      </c>
      <c r="AE1" t="s" s="154">
        <v>659</v>
      </c>
      <c r="AF1" t="s" s="154">
        <v>660</v>
      </c>
      <c r="AG1" t="s" s="153">
        <v>661</v>
      </c>
      <c r="AH1" t="s" s="153">
        <v>109</v>
      </c>
      <c r="AI1" t="s" s="153">
        <v>110</v>
      </c>
      <c r="AJ1" t="s" s="154">
        <v>111</v>
      </c>
      <c r="AK1" t="s" s="154">
        <v>112</v>
      </c>
      <c r="AL1" t="s" s="154">
        <v>113</v>
      </c>
      <c r="AM1" t="s" s="154">
        <v>114</v>
      </c>
      <c r="AN1" t="s" s="154">
        <v>115</v>
      </c>
      <c r="AO1" t="s" s="154">
        <v>116</v>
      </c>
      <c r="AP1" t="s" s="154">
        <v>35</v>
      </c>
      <c r="AQ1" t="s" s="154">
        <v>36</v>
      </c>
      <c r="AR1" t="s" s="154">
        <v>117</v>
      </c>
      <c r="AS1" t="s" s="154">
        <v>118</v>
      </c>
    </row>
    <row r="2" ht="47" customHeight="1">
      <c r="A2" t="s" s="155">
        <v>119</v>
      </c>
      <c r="B2" t="s" s="156">
        <v>120</v>
      </c>
      <c r="C2" s="157"/>
      <c r="D2" s="158"/>
      <c r="E2" t="s" s="159">
        <v>662</v>
      </c>
      <c r="F2" s="158"/>
      <c r="G2" s="157"/>
      <c r="H2" s="158"/>
      <c r="I2" s="158"/>
      <c r="J2" s="158"/>
      <c r="K2" s="158"/>
      <c r="L2" s="158"/>
      <c r="M2" t="s" s="160">
        <v>663</v>
      </c>
      <c r="N2" s="158"/>
      <c r="O2" s="158"/>
      <c r="P2" s="158"/>
      <c r="Q2" s="158"/>
      <c r="R2" s="158"/>
      <c r="S2" t="s" s="161">
        <v>121</v>
      </c>
      <c r="T2" s="158"/>
      <c r="U2" t="s" s="162">
        <v>122</v>
      </c>
      <c r="V2" t="s" s="163">
        <v>123</v>
      </c>
      <c r="W2" t="s" s="164">
        <v>664</v>
      </c>
      <c r="X2" s="158"/>
      <c r="Y2" s="158"/>
      <c r="Z2" s="158"/>
      <c r="AA2" s="158"/>
      <c r="AB2" s="158"/>
      <c r="AC2" s="158"/>
      <c r="AD2" s="158"/>
      <c r="AE2" s="157"/>
      <c r="AF2" s="165"/>
      <c r="AG2" s="166"/>
      <c r="AH2" s="157"/>
      <c r="AI2" s="157"/>
      <c r="AJ2" s="157"/>
      <c r="AK2" s="157"/>
      <c r="AL2" s="157"/>
      <c r="AM2" s="157"/>
      <c r="AN2" s="157"/>
      <c r="AO2" s="157"/>
      <c r="AP2" s="157"/>
      <c r="AQ2" s="157"/>
      <c r="AR2" s="157"/>
      <c r="AS2" s="157"/>
    </row>
    <row r="3" ht="16" customHeight="1">
      <c r="A3" t="s" s="167">
        <v>973</v>
      </c>
      <c r="B3" t="s" s="168">
        <v>974</v>
      </c>
      <c r="C3" s="169">
        <v>6</v>
      </c>
      <c r="D3" t="s" s="168">
        <v>975</v>
      </c>
      <c r="E3" s="170"/>
      <c r="F3" s="169">
        <v>568</v>
      </c>
      <c r="G3" t="s" s="168">
        <v>976</v>
      </c>
      <c r="H3" t="s" s="171">
        <v>977</v>
      </c>
      <c r="I3" s="173">
        <v>1</v>
      </c>
      <c r="J3" s="172"/>
      <c r="K3" s="172"/>
      <c r="L3" s="172"/>
      <c r="M3" s="191">
        <v>1</v>
      </c>
      <c r="N3" s="172"/>
      <c r="O3" s="172"/>
      <c r="P3" s="172"/>
      <c r="Q3" s="172"/>
      <c r="R3" s="172"/>
      <c r="S3" s="173">
        <v>60</v>
      </c>
      <c r="T3" s="173">
        <v>1851</v>
      </c>
      <c r="U3" s="172"/>
      <c r="V3" s="172"/>
      <c r="W3" s="192">
        <v>1</v>
      </c>
      <c r="X3" s="172"/>
      <c r="Y3" s="172"/>
      <c r="Z3" s="172"/>
      <c r="AA3" s="172"/>
      <c r="AB3" s="172"/>
      <c r="AC3" s="172"/>
      <c r="AD3" s="170"/>
      <c r="AE3" s="173">
        <v>1</v>
      </c>
      <c r="AF3" t="s" s="171">
        <v>978</v>
      </c>
      <c r="AG3" t="s" s="167">
        <v>979</v>
      </c>
      <c r="AH3" s="170"/>
      <c r="AI3" s="174"/>
      <c r="AJ3" s="175"/>
      <c r="AK3" s="175"/>
      <c r="AL3" s="175"/>
      <c r="AM3" s="175"/>
      <c r="AN3" s="175"/>
      <c r="AO3" s="175"/>
      <c r="AP3" s="175"/>
      <c r="AQ3" s="175"/>
      <c r="AR3" s="175"/>
      <c r="AS3" s="175"/>
    </row>
    <row r="4" ht="19" customHeight="1">
      <c r="A4" t="s" s="167">
        <v>973</v>
      </c>
      <c r="B4" t="s" s="167">
        <v>974</v>
      </c>
      <c r="C4" s="108">
        <v>6</v>
      </c>
      <c r="D4" t="s" s="167">
        <v>975</v>
      </c>
      <c r="E4" s="105"/>
      <c r="F4" s="108">
        <v>568</v>
      </c>
      <c r="G4" t="s" s="167">
        <v>980</v>
      </c>
      <c r="H4" t="s" s="176">
        <v>981</v>
      </c>
      <c r="I4" s="97">
        <v>1</v>
      </c>
      <c r="J4" s="98"/>
      <c r="K4" s="98"/>
      <c r="L4" s="98"/>
      <c r="M4" s="98"/>
      <c r="N4" s="98"/>
      <c r="O4" s="98"/>
      <c r="P4" s="98"/>
      <c r="Q4" s="97">
        <v>1</v>
      </c>
      <c r="R4" s="98"/>
      <c r="S4" s="97">
        <v>28</v>
      </c>
      <c r="T4" s="97">
        <v>1883</v>
      </c>
      <c r="U4" s="98"/>
      <c r="V4" s="97">
        <v>1</v>
      </c>
      <c r="W4" s="98"/>
      <c r="X4" s="98"/>
      <c r="Y4" t="s" s="176">
        <v>982</v>
      </c>
      <c r="Z4" t="s" s="176">
        <v>178</v>
      </c>
      <c r="AA4" s="97">
        <v>1</v>
      </c>
      <c r="AB4" s="98"/>
      <c r="AC4" s="97">
        <v>1</v>
      </c>
      <c r="AD4" s="105"/>
      <c r="AE4" s="97">
        <v>1</v>
      </c>
      <c r="AF4" t="s" s="176">
        <v>983</v>
      </c>
      <c r="AG4" t="s" s="167">
        <v>984</v>
      </c>
      <c r="AH4" s="105"/>
      <c r="AI4" s="179"/>
      <c r="AJ4" s="180"/>
      <c r="AK4" s="180"/>
      <c r="AL4" s="180"/>
      <c r="AM4" s="180"/>
      <c r="AN4" s="180"/>
      <c r="AO4" s="180"/>
      <c r="AP4" s="180"/>
      <c r="AQ4" s="180"/>
      <c r="AR4" s="180"/>
      <c r="AS4" s="180"/>
    </row>
    <row r="5" ht="19" customHeight="1">
      <c r="A5" t="s" s="167">
        <v>973</v>
      </c>
      <c r="B5" t="s" s="167">
        <v>974</v>
      </c>
      <c r="C5" s="108">
        <v>6</v>
      </c>
      <c r="D5" t="s" s="167">
        <v>975</v>
      </c>
      <c r="E5" s="105"/>
      <c r="F5" s="108">
        <v>568</v>
      </c>
      <c r="G5" t="s" s="167">
        <v>985</v>
      </c>
      <c r="H5" t="s" s="176">
        <v>645</v>
      </c>
      <c r="I5" s="97">
        <v>1</v>
      </c>
      <c r="J5" s="98"/>
      <c r="K5" s="98"/>
      <c r="L5" s="98"/>
      <c r="M5" s="98"/>
      <c r="N5" s="98"/>
      <c r="O5" s="98"/>
      <c r="P5" s="98"/>
      <c r="Q5" s="98"/>
      <c r="R5" s="97">
        <v>1</v>
      </c>
      <c r="S5" s="97">
        <v>29</v>
      </c>
      <c r="T5" s="97">
        <v>1882</v>
      </c>
      <c r="U5" s="98"/>
      <c r="V5" s="97">
        <v>1</v>
      </c>
      <c r="W5" s="98"/>
      <c r="X5" s="98"/>
      <c r="Y5" t="s" s="176">
        <v>33</v>
      </c>
      <c r="Z5" t="s" s="176">
        <v>178</v>
      </c>
      <c r="AA5" s="97">
        <v>1</v>
      </c>
      <c r="AB5" s="98"/>
      <c r="AC5" s="97">
        <v>1</v>
      </c>
      <c r="AD5" s="108">
        <v>1</v>
      </c>
      <c r="AE5" s="98"/>
      <c r="AF5" t="s" s="176">
        <v>37</v>
      </c>
      <c r="AG5" t="s" s="176">
        <v>986</v>
      </c>
      <c r="AH5" s="105"/>
      <c r="AI5" s="115"/>
      <c r="AJ5" s="17"/>
      <c r="AK5" s="17"/>
      <c r="AL5" s="17"/>
      <c r="AM5" s="17"/>
      <c r="AN5" s="17"/>
      <c r="AO5" s="17"/>
      <c r="AP5" s="17"/>
      <c r="AQ5" s="17"/>
      <c r="AR5" s="17"/>
      <c r="AS5" s="17"/>
    </row>
    <row r="6" ht="19" customHeight="1">
      <c r="A6" t="s" s="153">
        <v>973</v>
      </c>
      <c r="B6" t="s" s="153">
        <v>974</v>
      </c>
      <c r="C6" s="182">
        <v>6</v>
      </c>
      <c r="D6" t="s" s="153">
        <v>975</v>
      </c>
      <c r="E6" s="183"/>
      <c r="F6" s="182">
        <v>568</v>
      </c>
      <c r="G6" t="s" s="153">
        <v>987</v>
      </c>
      <c r="H6" t="s" s="154">
        <v>988</v>
      </c>
      <c r="I6" s="184">
        <v>1</v>
      </c>
      <c r="J6" s="185"/>
      <c r="K6" s="185"/>
      <c r="L6" s="185"/>
      <c r="M6" s="185"/>
      <c r="N6" s="185"/>
      <c r="O6" s="185"/>
      <c r="P6" s="185"/>
      <c r="Q6" s="185"/>
      <c r="R6" s="184">
        <v>1</v>
      </c>
      <c r="S6" s="184">
        <v>17</v>
      </c>
      <c r="T6" s="184">
        <v>1894</v>
      </c>
      <c r="U6" s="185"/>
      <c r="V6" s="184">
        <v>1</v>
      </c>
      <c r="W6" s="185"/>
      <c r="X6" s="185"/>
      <c r="Y6" t="s" s="154">
        <v>33</v>
      </c>
      <c r="Z6" t="s" s="154">
        <v>178</v>
      </c>
      <c r="AA6" s="184">
        <v>1</v>
      </c>
      <c r="AB6" s="185"/>
      <c r="AC6" s="184">
        <v>1</v>
      </c>
      <c r="AD6" s="182">
        <v>1</v>
      </c>
      <c r="AE6" s="185"/>
      <c r="AF6" t="s" s="154">
        <v>37</v>
      </c>
      <c r="AG6" t="s" s="154">
        <v>671</v>
      </c>
      <c r="AH6" s="183"/>
      <c r="AI6" s="188"/>
      <c r="AJ6" s="189"/>
      <c r="AK6" s="189"/>
      <c r="AL6" s="189"/>
      <c r="AM6" s="189"/>
      <c r="AN6" s="189"/>
      <c r="AO6" s="189"/>
      <c r="AP6" s="189"/>
      <c r="AQ6" s="189"/>
      <c r="AR6" s="189"/>
      <c r="AS6" s="189"/>
    </row>
    <row r="7" ht="19" customHeight="1">
      <c r="A7" t="s" s="168">
        <v>989</v>
      </c>
      <c r="B7" t="s" s="168">
        <v>990</v>
      </c>
      <c r="C7" s="169">
        <v>1</v>
      </c>
      <c r="D7" t="s" s="168">
        <v>975</v>
      </c>
      <c r="E7" s="170"/>
      <c r="F7" s="169">
        <v>608</v>
      </c>
      <c r="G7" t="s" s="168">
        <v>991</v>
      </c>
      <c r="H7" t="s" s="171">
        <v>992</v>
      </c>
      <c r="I7" s="172"/>
      <c r="J7" s="173">
        <v>1</v>
      </c>
      <c r="K7" s="172"/>
      <c r="L7" s="172"/>
      <c r="M7" s="173">
        <v>1</v>
      </c>
      <c r="N7" s="172"/>
      <c r="O7" s="172"/>
      <c r="P7" s="172"/>
      <c r="Q7" s="172"/>
      <c r="R7" s="172"/>
      <c r="S7" s="173">
        <v>48</v>
      </c>
      <c r="T7" s="173">
        <v>1863</v>
      </c>
      <c r="U7" s="173">
        <v>1</v>
      </c>
      <c r="V7" s="172"/>
      <c r="W7" s="172"/>
      <c r="X7" s="172"/>
      <c r="Y7" t="s" s="171">
        <v>337</v>
      </c>
      <c r="Z7" t="s" s="171">
        <v>670</v>
      </c>
      <c r="AA7" s="173">
        <v>1</v>
      </c>
      <c r="AB7" s="173">
        <v>1</v>
      </c>
      <c r="AC7" s="172"/>
      <c r="AD7" s="169">
        <v>1</v>
      </c>
      <c r="AE7" s="172"/>
      <c r="AF7" t="s" s="171">
        <v>37</v>
      </c>
      <c r="AG7" t="s" s="171">
        <v>671</v>
      </c>
      <c r="AH7" s="170"/>
      <c r="AI7" s="174"/>
      <c r="AJ7" s="175"/>
      <c r="AK7" s="175"/>
      <c r="AL7" s="175"/>
      <c r="AM7" s="175"/>
      <c r="AN7" s="175"/>
      <c r="AO7" s="175"/>
      <c r="AP7" s="175"/>
      <c r="AQ7" s="175"/>
      <c r="AR7" s="175"/>
      <c r="AS7" s="175"/>
    </row>
    <row r="8" ht="18" customHeight="1">
      <c r="A8" t="s" s="167">
        <v>989</v>
      </c>
      <c r="B8" t="s" s="167">
        <v>990</v>
      </c>
      <c r="C8" s="108">
        <v>1</v>
      </c>
      <c r="D8" t="s" s="167">
        <v>975</v>
      </c>
      <c r="E8" s="105"/>
      <c r="F8" s="108">
        <v>608</v>
      </c>
      <c r="G8" t="s" s="167">
        <v>991</v>
      </c>
      <c r="H8" t="s" s="176">
        <v>993</v>
      </c>
      <c r="I8" s="97">
        <v>1</v>
      </c>
      <c r="J8" s="98"/>
      <c r="K8" s="98"/>
      <c r="L8" s="98"/>
      <c r="M8" s="98"/>
      <c r="N8" s="97">
        <v>1</v>
      </c>
      <c r="O8" s="98"/>
      <c r="P8" s="98"/>
      <c r="Q8" s="98"/>
      <c r="R8" s="98"/>
      <c r="S8" s="97">
        <v>37</v>
      </c>
      <c r="T8" s="97">
        <v>1874</v>
      </c>
      <c r="U8" s="200">
        <v>1</v>
      </c>
      <c r="V8" s="98"/>
      <c r="W8" s="203"/>
      <c r="X8" s="98"/>
      <c r="Y8" s="98"/>
      <c r="Z8" s="98"/>
      <c r="AA8" s="98"/>
      <c r="AB8" s="98"/>
      <c r="AC8" s="98"/>
      <c r="AD8" s="108">
        <v>1</v>
      </c>
      <c r="AE8" s="98"/>
      <c r="AF8" t="s" s="176">
        <v>37</v>
      </c>
      <c r="AG8" t="s" s="176">
        <v>671</v>
      </c>
      <c r="AH8" s="105"/>
      <c r="AI8" s="179"/>
      <c r="AJ8" s="180"/>
      <c r="AK8" s="180"/>
      <c r="AL8" s="180"/>
      <c r="AM8" s="180"/>
      <c r="AN8" s="180"/>
      <c r="AO8" s="180"/>
      <c r="AP8" s="180"/>
      <c r="AQ8" s="180"/>
      <c r="AR8" s="180"/>
      <c r="AS8" s="180"/>
    </row>
    <row r="9" ht="19" customHeight="1">
      <c r="A9" t="s" s="167">
        <v>989</v>
      </c>
      <c r="B9" t="s" s="167">
        <v>990</v>
      </c>
      <c r="C9" s="108">
        <v>1</v>
      </c>
      <c r="D9" t="s" s="167">
        <v>975</v>
      </c>
      <c r="E9" s="105"/>
      <c r="F9" s="108">
        <v>608</v>
      </c>
      <c r="G9" t="s" s="167">
        <v>991</v>
      </c>
      <c r="H9" t="s" s="176">
        <v>994</v>
      </c>
      <c r="I9" s="98"/>
      <c r="J9" s="98"/>
      <c r="K9" s="97">
        <v>1</v>
      </c>
      <c r="L9" s="98"/>
      <c r="M9" s="98"/>
      <c r="N9" s="98"/>
      <c r="O9" s="97">
        <v>1</v>
      </c>
      <c r="P9" s="98"/>
      <c r="Q9" s="98"/>
      <c r="R9" s="98"/>
      <c r="S9" s="97">
        <v>13</v>
      </c>
      <c r="T9" s="97">
        <v>1898</v>
      </c>
      <c r="U9" s="98"/>
      <c r="V9" s="97">
        <v>1</v>
      </c>
      <c r="W9" s="98"/>
      <c r="X9" s="98"/>
      <c r="Y9" t="s" s="176">
        <v>759</v>
      </c>
      <c r="Z9" s="98"/>
      <c r="AA9" s="98"/>
      <c r="AB9" s="98"/>
      <c r="AC9" s="98"/>
      <c r="AD9" s="108">
        <v>1</v>
      </c>
      <c r="AE9" s="98"/>
      <c r="AF9" t="s" s="176">
        <v>37</v>
      </c>
      <c r="AG9" t="s" s="176">
        <v>671</v>
      </c>
      <c r="AH9" s="105"/>
      <c r="AI9" s="115"/>
      <c r="AJ9" s="17"/>
      <c r="AK9" s="17"/>
      <c r="AL9" s="17"/>
      <c r="AM9" s="17"/>
      <c r="AN9" s="17"/>
      <c r="AO9" s="17"/>
      <c r="AP9" s="17"/>
      <c r="AQ9" s="17"/>
      <c r="AR9" s="17"/>
      <c r="AS9" s="17"/>
    </row>
    <row r="10" ht="19" customHeight="1">
      <c r="A10" t="s" s="167">
        <v>989</v>
      </c>
      <c r="B10" t="s" s="167">
        <v>990</v>
      </c>
      <c r="C10" s="108">
        <v>1</v>
      </c>
      <c r="D10" t="s" s="167">
        <v>975</v>
      </c>
      <c r="E10" s="105"/>
      <c r="F10" s="108">
        <v>608</v>
      </c>
      <c r="G10" t="s" s="167">
        <v>991</v>
      </c>
      <c r="H10" t="s" s="176">
        <v>49</v>
      </c>
      <c r="I10" s="98"/>
      <c r="J10" s="98"/>
      <c r="K10" s="97">
        <v>1</v>
      </c>
      <c r="L10" s="98"/>
      <c r="M10" s="98"/>
      <c r="N10" s="98"/>
      <c r="O10" s="97">
        <v>1</v>
      </c>
      <c r="P10" s="98"/>
      <c r="Q10" s="98"/>
      <c r="R10" s="98"/>
      <c r="S10" s="97">
        <v>11</v>
      </c>
      <c r="T10" s="97">
        <v>1900</v>
      </c>
      <c r="U10" s="98"/>
      <c r="V10" s="97">
        <v>1</v>
      </c>
      <c r="W10" s="98"/>
      <c r="X10" s="98"/>
      <c r="Y10" t="s" s="176">
        <v>759</v>
      </c>
      <c r="Z10" s="98"/>
      <c r="AA10" s="98"/>
      <c r="AB10" s="98"/>
      <c r="AC10" s="98"/>
      <c r="AD10" s="108">
        <v>1</v>
      </c>
      <c r="AE10" s="98"/>
      <c r="AF10" t="s" s="176">
        <v>37</v>
      </c>
      <c r="AG10" t="s" s="176">
        <v>671</v>
      </c>
      <c r="AH10" s="105"/>
      <c r="AI10" s="115"/>
      <c r="AJ10" s="17"/>
      <c r="AK10" s="17"/>
      <c r="AL10" s="17"/>
      <c r="AM10" s="17"/>
      <c r="AN10" s="17"/>
      <c r="AO10" s="17"/>
      <c r="AP10" s="17"/>
      <c r="AQ10" s="17"/>
      <c r="AR10" s="17"/>
      <c r="AS10" s="17"/>
    </row>
    <row r="11" ht="19" customHeight="1">
      <c r="A11" t="s" s="167">
        <v>989</v>
      </c>
      <c r="B11" t="s" s="167">
        <v>990</v>
      </c>
      <c r="C11" s="108">
        <v>1</v>
      </c>
      <c r="D11" t="s" s="167">
        <v>975</v>
      </c>
      <c r="E11" s="105"/>
      <c r="F11" s="108">
        <v>608</v>
      </c>
      <c r="G11" t="s" s="167">
        <v>991</v>
      </c>
      <c r="H11" t="s" s="176">
        <v>892</v>
      </c>
      <c r="I11" s="98"/>
      <c r="J11" s="98"/>
      <c r="K11" s="97">
        <v>1</v>
      </c>
      <c r="L11" s="98"/>
      <c r="M11" s="98"/>
      <c r="N11" s="98"/>
      <c r="O11" s="97">
        <v>1</v>
      </c>
      <c r="P11" s="98"/>
      <c r="Q11" s="98"/>
      <c r="R11" s="98"/>
      <c r="S11" s="97">
        <v>9</v>
      </c>
      <c r="T11" s="97">
        <v>1902</v>
      </c>
      <c r="U11" s="98"/>
      <c r="V11" s="97">
        <v>1</v>
      </c>
      <c r="W11" s="98"/>
      <c r="X11" s="98"/>
      <c r="Y11" s="98"/>
      <c r="Z11" s="98"/>
      <c r="AA11" s="98"/>
      <c r="AB11" s="98"/>
      <c r="AC11" s="98"/>
      <c r="AD11" s="108">
        <v>1</v>
      </c>
      <c r="AE11" s="98"/>
      <c r="AF11" t="s" s="176">
        <v>37</v>
      </c>
      <c r="AG11" t="s" s="176">
        <v>671</v>
      </c>
      <c r="AH11" s="105"/>
      <c r="AI11" s="115"/>
      <c r="AJ11" s="17"/>
      <c r="AK11" s="17"/>
      <c r="AL11" s="17"/>
      <c r="AM11" s="17"/>
      <c r="AN11" s="17"/>
      <c r="AO11" s="17"/>
      <c r="AP11" s="17"/>
      <c r="AQ11" s="17"/>
      <c r="AR11" s="17"/>
      <c r="AS11" s="17"/>
    </row>
    <row r="12" ht="19" customHeight="1">
      <c r="A12" t="s" s="167">
        <v>989</v>
      </c>
      <c r="B12" t="s" s="167">
        <v>990</v>
      </c>
      <c r="C12" s="108">
        <v>1</v>
      </c>
      <c r="D12" t="s" s="167">
        <v>975</v>
      </c>
      <c r="E12" s="105"/>
      <c r="F12" s="108">
        <v>608</v>
      </c>
      <c r="G12" t="s" s="167">
        <v>991</v>
      </c>
      <c r="H12" t="s" s="176">
        <v>995</v>
      </c>
      <c r="I12" s="98"/>
      <c r="J12" s="98"/>
      <c r="K12" s="97">
        <v>1</v>
      </c>
      <c r="L12" s="98"/>
      <c r="M12" s="98"/>
      <c r="N12" s="98"/>
      <c r="O12" s="97">
        <v>1</v>
      </c>
      <c r="P12" s="98"/>
      <c r="Q12" s="98"/>
      <c r="R12" s="98"/>
      <c r="S12" s="97">
        <v>2</v>
      </c>
      <c r="T12" s="97">
        <v>1909</v>
      </c>
      <c r="U12" s="98"/>
      <c r="V12" s="97">
        <v>1</v>
      </c>
      <c r="W12" s="98"/>
      <c r="X12" s="98"/>
      <c r="Y12" s="98"/>
      <c r="Z12" s="98"/>
      <c r="AA12" s="98"/>
      <c r="AB12" s="105"/>
      <c r="AC12" s="98"/>
      <c r="AD12" s="108">
        <v>1</v>
      </c>
      <c r="AE12" s="98"/>
      <c r="AF12" t="s" s="176">
        <v>37</v>
      </c>
      <c r="AG12" t="s" s="176">
        <v>671</v>
      </c>
      <c r="AH12" s="105"/>
      <c r="AI12" s="233"/>
      <c r="AJ12" s="234"/>
      <c r="AK12" s="234"/>
      <c r="AL12" s="234"/>
      <c r="AM12" s="234"/>
      <c r="AN12" s="234"/>
      <c r="AO12" s="234"/>
      <c r="AP12" s="234"/>
      <c r="AQ12" s="234"/>
      <c r="AR12" s="234"/>
      <c r="AS12" s="234"/>
    </row>
    <row r="13" ht="17" customHeight="1">
      <c r="A13" t="s" s="167">
        <v>989</v>
      </c>
      <c r="B13" t="s" s="167">
        <v>990</v>
      </c>
      <c r="C13" s="108">
        <v>1</v>
      </c>
      <c r="D13" t="s" s="167">
        <v>975</v>
      </c>
      <c r="E13" s="105"/>
      <c r="F13" s="108">
        <v>608</v>
      </c>
      <c r="G13" t="s" s="167">
        <v>991</v>
      </c>
      <c r="H13" t="s" s="176">
        <v>996</v>
      </c>
      <c r="I13" s="98"/>
      <c r="J13" s="98"/>
      <c r="K13" s="98"/>
      <c r="L13" s="97">
        <v>1</v>
      </c>
      <c r="M13" s="98"/>
      <c r="N13" s="98"/>
      <c r="O13" s="98"/>
      <c r="P13" s="97">
        <v>1</v>
      </c>
      <c r="Q13" s="98"/>
      <c r="R13" s="98"/>
      <c r="S13" s="97">
        <v>0.4</v>
      </c>
      <c r="T13" s="97">
        <v>1911</v>
      </c>
      <c r="U13" s="98"/>
      <c r="V13" s="97">
        <v>1</v>
      </c>
      <c r="W13" s="98"/>
      <c r="X13" s="98"/>
      <c r="Y13" s="98"/>
      <c r="Z13" s="98"/>
      <c r="AA13" s="98"/>
      <c r="AB13" s="98"/>
      <c r="AC13" s="98"/>
      <c r="AD13" s="108">
        <v>1</v>
      </c>
      <c r="AE13" s="98"/>
      <c r="AF13" t="s" s="176">
        <v>37</v>
      </c>
      <c r="AG13" t="s" s="176">
        <v>671</v>
      </c>
      <c r="AH13" s="105"/>
      <c r="AI13" s="216"/>
      <c r="AJ13" s="217"/>
      <c r="AK13" s="217"/>
      <c r="AL13" s="217"/>
      <c r="AM13" s="217"/>
      <c r="AN13" s="217"/>
      <c r="AO13" s="217"/>
      <c r="AP13" s="217"/>
      <c r="AQ13" s="217"/>
      <c r="AR13" s="217"/>
      <c r="AS13" s="217"/>
    </row>
    <row r="14" ht="16" customHeight="1">
      <c r="A14" t="s" s="167">
        <v>989</v>
      </c>
      <c r="B14" t="s" s="167">
        <v>990</v>
      </c>
      <c r="C14" s="108">
        <v>1</v>
      </c>
      <c r="D14" t="s" s="167">
        <v>975</v>
      </c>
      <c r="E14" s="105"/>
      <c r="F14" s="108">
        <v>608</v>
      </c>
      <c r="G14" t="s" s="167">
        <v>997</v>
      </c>
      <c r="H14" t="s" s="176">
        <v>998</v>
      </c>
      <c r="I14" s="97">
        <v>1</v>
      </c>
      <c r="J14" s="98"/>
      <c r="K14" s="98"/>
      <c r="L14" s="98"/>
      <c r="M14" s="98"/>
      <c r="N14" s="98"/>
      <c r="O14" s="98"/>
      <c r="P14" s="98"/>
      <c r="Q14" s="98"/>
      <c r="R14" s="97">
        <v>1</v>
      </c>
      <c r="S14" s="97">
        <v>23</v>
      </c>
      <c r="T14" s="97">
        <v>1888</v>
      </c>
      <c r="U14" s="98"/>
      <c r="V14" s="97">
        <v>1</v>
      </c>
      <c r="W14" s="98"/>
      <c r="X14" s="98"/>
      <c r="Y14" t="s" s="176">
        <v>162</v>
      </c>
      <c r="Z14" t="s" s="176">
        <v>178</v>
      </c>
      <c r="AA14" s="97">
        <v>1</v>
      </c>
      <c r="AB14" s="98"/>
      <c r="AC14" s="97">
        <v>1</v>
      </c>
      <c r="AD14" s="105"/>
      <c r="AE14" s="97">
        <v>1</v>
      </c>
      <c r="AF14" t="s" s="176">
        <v>166</v>
      </c>
      <c r="AG14" t="s" s="176">
        <v>999</v>
      </c>
      <c r="AH14" s="105"/>
      <c r="AI14" s="216"/>
      <c r="AJ14" s="217"/>
      <c r="AK14" s="217"/>
      <c r="AL14" s="217"/>
      <c r="AM14" s="217"/>
      <c r="AN14" s="217"/>
      <c r="AO14" s="217"/>
      <c r="AP14" s="217"/>
      <c r="AQ14" s="217"/>
      <c r="AR14" s="217"/>
      <c r="AS14" s="217"/>
    </row>
    <row r="15" ht="17" customHeight="1">
      <c r="A15" t="s" s="167">
        <v>989</v>
      </c>
      <c r="B15" t="s" s="167">
        <v>990</v>
      </c>
      <c r="C15" s="108">
        <v>1</v>
      </c>
      <c r="D15" t="s" s="167">
        <v>975</v>
      </c>
      <c r="E15" s="105"/>
      <c r="F15" s="108">
        <v>608</v>
      </c>
      <c r="G15" t="s" s="167">
        <v>1000</v>
      </c>
      <c r="H15" t="s" s="167">
        <v>1001</v>
      </c>
      <c r="I15" s="108">
        <v>1</v>
      </c>
      <c r="J15" s="105"/>
      <c r="K15" s="105"/>
      <c r="L15" s="105"/>
      <c r="M15" s="105"/>
      <c r="N15" s="105"/>
      <c r="O15" s="98"/>
      <c r="P15" s="98"/>
      <c r="Q15" s="98"/>
      <c r="R15" s="97">
        <v>1</v>
      </c>
      <c r="S15" s="108">
        <v>19</v>
      </c>
      <c r="T15" s="108">
        <v>1892</v>
      </c>
      <c r="U15" s="98"/>
      <c r="V15" s="97">
        <v>1</v>
      </c>
      <c r="W15" s="105"/>
      <c r="X15" s="105"/>
      <c r="Y15" t="s" s="167">
        <v>1002</v>
      </c>
      <c r="Z15" t="s" s="176">
        <v>178</v>
      </c>
      <c r="AA15" s="108">
        <v>1</v>
      </c>
      <c r="AB15" s="105"/>
      <c r="AC15" s="108">
        <v>1</v>
      </c>
      <c r="AD15" s="105"/>
      <c r="AE15" s="108">
        <v>1</v>
      </c>
      <c r="AF15" t="s" s="176">
        <v>697</v>
      </c>
      <c r="AG15" t="s" s="176">
        <v>1003</v>
      </c>
      <c r="AH15" s="105"/>
      <c r="AI15" s="216"/>
      <c r="AJ15" s="217"/>
      <c r="AK15" s="217"/>
      <c r="AL15" s="217"/>
      <c r="AM15" s="217"/>
      <c r="AN15" s="217"/>
      <c r="AO15" s="217"/>
      <c r="AP15" s="217"/>
      <c r="AQ15" s="217"/>
      <c r="AR15" s="217"/>
      <c r="AS15" s="217"/>
    </row>
    <row r="16" ht="17" customHeight="1">
      <c r="A16" t="s" s="167">
        <v>989</v>
      </c>
      <c r="B16" t="s" s="167">
        <v>990</v>
      </c>
      <c r="C16" s="108">
        <v>1</v>
      </c>
      <c r="D16" t="s" s="167">
        <v>975</v>
      </c>
      <c r="E16" s="105"/>
      <c r="F16" s="108">
        <v>608</v>
      </c>
      <c r="G16" t="s" s="167">
        <v>1004</v>
      </c>
      <c r="H16" t="s" s="167">
        <v>202</v>
      </c>
      <c r="I16" s="108">
        <v>1</v>
      </c>
      <c r="J16" s="105"/>
      <c r="K16" s="105"/>
      <c r="L16" s="105"/>
      <c r="M16" s="105"/>
      <c r="N16" s="105"/>
      <c r="O16" s="98"/>
      <c r="P16" s="98"/>
      <c r="Q16" s="98"/>
      <c r="R16" s="97">
        <v>1</v>
      </c>
      <c r="S16" s="108">
        <v>30</v>
      </c>
      <c r="T16" s="108">
        <v>1881</v>
      </c>
      <c r="U16" s="98"/>
      <c r="V16" s="97">
        <v>1</v>
      </c>
      <c r="W16" s="105"/>
      <c r="X16" s="105"/>
      <c r="Y16" t="s" s="167">
        <v>159</v>
      </c>
      <c r="Z16" t="s" s="176">
        <v>178</v>
      </c>
      <c r="AA16" s="108">
        <v>1</v>
      </c>
      <c r="AB16" s="105"/>
      <c r="AC16" s="108">
        <v>1</v>
      </c>
      <c r="AD16" s="108">
        <v>1</v>
      </c>
      <c r="AE16" s="105"/>
      <c r="AF16" t="s" s="176">
        <v>37</v>
      </c>
      <c r="AG16" t="s" s="176">
        <v>935</v>
      </c>
      <c r="AH16" s="105"/>
      <c r="AI16" s="216"/>
      <c r="AJ16" s="217"/>
      <c r="AK16" s="217"/>
      <c r="AL16" s="217"/>
      <c r="AM16" s="217"/>
      <c r="AN16" s="217"/>
      <c r="AO16" s="217"/>
      <c r="AP16" s="217"/>
      <c r="AQ16" s="217"/>
      <c r="AR16" s="217"/>
      <c r="AS16" s="217"/>
    </row>
    <row r="17" ht="18" customHeight="1">
      <c r="A17" t="s" s="153">
        <v>989</v>
      </c>
      <c r="B17" t="s" s="153">
        <v>990</v>
      </c>
      <c r="C17" s="182">
        <v>1</v>
      </c>
      <c r="D17" t="s" s="153">
        <v>975</v>
      </c>
      <c r="E17" s="183"/>
      <c r="F17" s="182">
        <v>608</v>
      </c>
      <c r="G17" t="s" s="153">
        <v>1005</v>
      </c>
      <c r="H17" t="s" s="153">
        <v>1006</v>
      </c>
      <c r="I17" s="182">
        <v>1</v>
      </c>
      <c r="J17" s="183"/>
      <c r="K17" s="183"/>
      <c r="L17" s="183"/>
      <c r="M17" s="183"/>
      <c r="N17" s="183"/>
      <c r="O17" s="185"/>
      <c r="P17" s="185"/>
      <c r="Q17" s="185"/>
      <c r="R17" s="184">
        <v>1</v>
      </c>
      <c r="S17" s="184">
        <v>32</v>
      </c>
      <c r="T17" s="184">
        <v>1879</v>
      </c>
      <c r="U17" s="185"/>
      <c r="V17" s="184">
        <v>1</v>
      </c>
      <c r="W17" s="185"/>
      <c r="X17" s="185"/>
      <c r="Y17" t="s" s="153">
        <v>576</v>
      </c>
      <c r="Z17" t="s" s="153">
        <v>178</v>
      </c>
      <c r="AA17" s="182">
        <v>1</v>
      </c>
      <c r="AB17" s="183"/>
      <c r="AC17" s="182">
        <v>1</v>
      </c>
      <c r="AD17" s="183"/>
      <c r="AE17" s="182">
        <v>1</v>
      </c>
      <c r="AF17" t="s" s="154">
        <v>983</v>
      </c>
      <c r="AG17" t="s" s="153">
        <v>1007</v>
      </c>
      <c r="AH17" s="183"/>
      <c r="AI17" s="218"/>
      <c r="AJ17" s="219"/>
      <c r="AK17" s="219"/>
      <c r="AL17" s="219"/>
      <c r="AM17" s="219"/>
      <c r="AN17" s="219"/>
      <c r="AO17" s="219"/>
      <c r="AP17" s="219"/>
      <c r="AQ17" s="219"/>
      <c r="AR17" s="219"/>
      <c r="AS17" s="219"/>
    </row>
    <row r="18" ht="17" customHeight="1">
      <c r="A18" t="s" s="208">
        <v>285</v>
      </c>
      <c r="B18" s="221">
        <v>2</v>
      </c>
      <c r="C18" s="157"/>
      <c r="D18" s="157"/>
      <c r="E18" s="157"/>
      <c r="F18" s="157"/>
      <c r="G18" s="221">
        <v>9</v>
      </c>
      <c r="H18" s="221">
        <v>15</v>
      </c>
      <c r="I18" s="221">
        <f>SUM(I3:I17)</f>
        <v>9</v>
      </c>
      <c r="J18" s="221">
        <f>SUM(J3:J17)</f>
        <v>1</v>
      </c>
      <c r="K18" s="221">
        <f>SUM(K3:K17)</f>
        <v>4</v>
      </c>
      <c r="L18" s="221">
        <f>SUM(L3:L17)</f>
        <v>1</v>
      </c>
      <c r="M18" s="221">
        <f>SUM(M3:M17)</f>
        <v>2</v>
      </c>
      <c r="N18" s="221">
        <f>SUM(N3:N17)</f>
        <v>1</v>
      </c>
      <c r="O18" s="221">
        <f>SUM(O3:O17)</f>
        <v>4</v>
      </c>
      <c r="P18" s="221">
        <f>SUM(P3:P17)</f>
        <v>1</v>
      </c>
      <c r="Q18" s="221">
        <f>SUM(Q3:Q17)</f>
        <v>1</v>
      </c>
      <c r="R18" s="221">
        <f>SUM(R3:R17)</f>
        <v>6</v>
      </c>
      <c r="S18" s="221">
        <f>SUM(S3:S17)</f>
        <v>358.4</v>
      </c>
      <c r="T18" s="157"/>
      <c r="U18" s="221">
        <f>SUM(U3:U17)</f>
        <v>2</v>
      </c>
      <c r="V18" s="221">
        <f>SUM(V3:V17)</f>
        <v>12</v>
      </c>
      <c r="W18" s="221">
        <f>SUM(W3:W17)</f>
        <v>1</v>
      </c>
      <c r="X18" s="221">
        <f>SUM(X3:X17)</f>
        <v>0</v>
      </c>
      <c r="Y18" s="157"/>
      <c r="Z18" s="157"/>
      <c r="AA18" s="221">
        <f>SUM(AA3:AA17)</f>
        <v>8</v>
      </c>
      <c r="AB18" s="221">
        <f>SUM(AB3:AB17)</f>
        <v>1</v>
      </c>
      <c r="AC18" s="221">
        <f>SUM(AC3:AC17)</f>
        <v>7</v>
      </c>
      <c r="AD18" s="221">
        <f>SUM(AD3:AD17)</f>
        <v>10</v>
      </c>
      <c r="AE18" s="221">
        <f>SUM(AE3:AE17)</f>
        <v>5</v>
      </c>
      <c r="AF18" s="157"/>
      <c r="AG18" s="157"/>
      <c r="AH18" s="157"/>
      <c r="AI18" s="165"/>
      <c r="AJ18" s="226"/>
      <c r="AK18" s="226"/>
      <c r="AL18" s="226"/>
      <c r="AM18" s="226"/>
      <c r="AN18" s="226"/>
      <c r="AO18" s="226"/>
      <c r="AP18" s="226"/>
      <c r="AQ18" s="226"/>
      <c r="AR18" s="226"/>
      <c r="AS18" s="226"/>
    </row>
    <row r="19" ht="17.5" customHeight="1">
      <c r="A19" s="195"/>
      <c r="B19" s="195"/>
      <c r="C19" s="195"/>
      <c r="D19" s="195"/>
      <c r="E19" s="195"/>
      <c r="F19" s="195"/>
      <c r="G19" s="195"/>
      <c r="H19" s="195"/>
      <c r="I19" s="195"/>
      <c r="J19" s="195"/>
      <c r="K19" s="195"/>
      <c r="L19" s="227"/>
      <c r="M19" s="194"/>
      <c r="N19" s="195"/>
      <c r="O19" s="195"/>
      <c r="P19" s="195"/>
      <c r="Q19" s="195"/>
      <c r="R19" s="195"/>
      <c r="S19" s="228"/>
      <c r="T19" s="228"/>
      <c r="U19" s="195"/>
      <c r="V19" s="195"/>
      <c r="W19" s="195"/>
      <c r="X19" s="228"/>
      <c r="Y19" s="195"/>
      <c r="Z19" s="195"/>
      <c r="AA19" s="195"/>
      <c r="AB19" s="195"/>
      <c r="AC19" s="195"/>
      <c r="AD19" s="195"/>
      <c r="AE19" s="195"/>
      <c r="AF19" s="195"/>
      <c r="AG19" s="227"/>
      <c r="AH19" s="193"/>
      <c r="AI19" s="194"/>
      <c r="AJ19" s="195"/>
      <c r="AK19" s="195"/>
      <c r="AL19" s="195"/>
      <c r="AM19" s="195"/>
      <c r="AN19" s="195"/>
      <c r="AO19" s="195"/>
      <c r="AP19" s="195"/>
      <c r="AQ19" s="195"/>
      <c r="AR19" s="195"/>
      <c r="AS19" s="195"/>
    </row>
    <row r="20" ht="17" customHeight="1">
      <c r="A20" s="17"/>
      <c r="B20" s="17"/>
      <c r="C20" s="17"/>
      <c r="D20" s="17"/>
      <c r="E20" s="17"/>
      <c r="F20" s="17"/>
      <c r="G20" s="17"/>
      <c r="H20" s="17"/>
      <c r="I20" s="79"/>
      <c r="J20" s="79"/>
      <c r="K20" s="79"/>
      <c r="L20" s="113"/>
      <c r="M20" s="115"/>
      <c r="N20" s="17"/>
      <c r="O20" s="17"/>
      <c r="P20" s="17"/>
      <c r="Q20" s="17"/>
      <c r="R20" s="17"/>
      <c r="S20" s="78"/>
      <c r="T20" s="78"/>
      <c r="U20" s="79"/>
      <c r="V20" s="79"/>
      <c r="W20" s="79"/>
      <c r="X20" s="78"/>
      <c r="Y20" s="17"/>
      <c r="Z20" s="17"/>
      <c r="AA20" s="17"/>
      <c r="AB20" s="17"/>
      <c r="AC20" s="17"/>
      <c r="AD20" s="17"/>
      <c r="AE20" s="17"/>
      <c r="AF20" s="17"/>
      <c r="AG20" s="113"/>
      <c r="AH20" s="181"/>
      <c r="AI20" s="115"/>
      <c r="AJ20" s="17"/>
      <c r="AK20" s="17"/>
      <c r="AL20" s="17"/>
      <c r="AM20" s="17"/>
      <c r="AN20" s="17"/>
      <c r="AO20" s="17"/>
      <c r="AP20" s="17"/>
      <c r="AQ20" s="17"/>
      <c r="AR20" s="17"/>
      <c r="AS20" s="17"/>
    </row>
    <row r="21" ht="17" customHeight="1">
      <c r="A21" s="17"/>
      <c r="B21" s="17"/>
      <c r="C21" s="17"/>
      <c r="D21" s="17"/>
      <c r="E21" s="17"/>
      <c r="F21" s="17"/>
      <c r="G21" s="17"/>
      <c r="H21" s="17"/>
      <c r="I21" s="17"/>
      <c r="J21" s="17"/>
      <c r="K21" s="17"/>
      <c r="L21" s="113"/>
      <c r="M21" s="115"/>
      <c r="N21" s="17"/>
      <c r="O21" s="17"/>
      <c r="P21" s="17"/>
      <c r="Q21" s="17"/>
      <c r="R21" s="17"/>
      <c r="S21" s="17"/>
      <c r="T21" s="17"/>
      <c r="U21" s="15"/>
      <c r="V21" s="15"/>
      <c r="W21" s="116"/>
      <c r="X21" s="17"/>
      <c r="Y21" s="17"/>
      <c r="Z21" s="17"/>
      <c r="AA21" s="17"/>
      <c r="AB21" s="17"/>
      <c r="AC21" s="17"/>
      <c r="AD21" s="17"/>
      <c r="AE21" s="17"/>
      <c r="AF21" s="17"/>
      <c r="AG21" s="113"/>
      <c r="AH21" s="181"/>
      <c r="AI21" s="115"/>
      <c r="AJ21" s="17"/>
      <c r="AK21" s="17"/>
      <c r="AL21" s="17"/>
      <c r="AM21" s="17"/>
      <c r="AN21" s="17"/>
      <c r="AO21" s="17"/>
      <c r="AP21" s="17"/>
      <c r="AQ21" s="17"/>
      <c r="AR21" s="17"/>
      <c r="AS21" s="17"/>
    </row>
    <row r="22" ht="17" customHeight="1">
      <c r="A22" s="17"/>
      <c r="B22" s="17"/>
      <c r="C22" s="17"/>
      <c r="D22" s="17"/>
      <c r="E22" s="17"/>
      <c r="F22" s="17"/>
      <c r="G22" s="17"/>
      <c r="H22" s="17"/>
      <c r="I22" s="17"/>
      <c r="J22" s="17"/>
      <c r="K22" s="17"/>
      <c r="L22" s="113"/>
      <c r="M22" s="115"/>
      <c r="N22" s="17"/>
      <c r="O22" s="17"/>
      <c r="P22" s="17"/>
      <c r="Q22" s="17"/>
      <c r="R22" s="17"/>
      <c r="S22" s="17"/>
      <c r="T22" s="17"/>
      <c r="U22" s="79"/>
      <c r="V22" s="79"/>
      <c r="W22" s="79"/>
      <c r="X22" s="17"/>
      <c r="Y22" s="17"/>
      <c r="Z22" s="17"/>
      <c r="AA22" s="17"/>
      <c r="AB22" s="17"/>
      <c r="AC22" s="17"/>
      <c r="AD22" s="83"/>
      <c r="AE22" s="83"/>
      <c r="AF22" s="83"/>
      <c r="AG22" s="113"/>
      <c r="AH22" s="181"/>
      <c r="AI22" s="115"/>
      <c r="AJ22" s="17"/>
      <c r="AK22" s="17"/>
      <c r="AL22" s="17"/>
      <c r="AM22" s="17"/>
      <c r="AN22" s="17"/>
      <c r="AO22" s="17"/>
      <c r="AP22" s="17"/>
      <c r="AQ22" s="17"/>
      <c r="AR22" s="17"/>
      <c r="AS22" s="17"/>
    </row>
    <row r="23" ht="17" customHeight="1">
      <c r="A23" s="17"/>
      <c r="B23" s="17"/>
      <c r="C23" s="17"/>
      <c r="D23" s="17"/>
      <c r="E23" s="17"/>
      <c r="F23" s="17"/>
      <c r="G23" s="17"/>
      <c r="H23" s="17"/>
      <c r="I23" s="17"/>
      <c r="J23" s="17"/>
      <c r="K23" s="17"/>
      <c r="L23" s="113"/>
      <c r="M23" s="115"/>
      <c r="N23" s="17"/>
      <c r="O23" s="17"/>
      <c r="P23" s="17"/>
      <c r="Q23" s="17"/>
      <c r="R23" s="17"/>
      <c r="S23" s="17"/>
      <c r="T23" s="17"/>
      <c r="U23" s="15"/>
      <c r="V23" s="17"/>
      <c r="W23" s="17"/>
      <c r="X23" s="17"/>
      <c r="Y23" s="17"/>
      <c r="Z23" s="17"/>
      <c r="AA23" s="17"/>
      <c r="AB23" s="17"/>
      <c r="AC23" s="17"/>
      <c r="AD23" s="17"/>
      <c r="AE23" s="17"/>
      <c r="AF23" s="17"/>
      <c r="AG23" s="113"/>
      <c r="AH23" s="181"/>
      <c r="AI23" s="115"/>
      <c r="AJ23" s="17"/>
      <c r="AK23" s="17"/>
      <c r="AL23" s="17"/>
      <c r="AM23" s="17"/>
      <c r="AN23" s="17"/>
      <c r="AO23" s="17"/>
      <c r="AP23" s="17"/>
      <c r="AQ23" s="17"/>
      <c r="AR23" s="17"/>
      <c r="AS23"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AS39"/>
  <sheetViews>
    <sheetView workbookViewId="0" showGridLines="0" defaultGridColor="1"/>
  </sheetViews>
  <sheetFormatPr defaultColWidth="10.8333" defaultRowHeight="16" customHeight="1" outlineLevelRow="0" outlineLevelCol="0"/>
  <cols>
    <col min="1" max="1" width="9.5" style="235" customWidth="1"/>
    <col min="2" max="2" width="13.1719" style="235" customWidth="1"/>
    <col min="3" max="3" width="6" style="235" customWidth="1"/>
    <col min="4" max="4" width="19.5" style="235" customWidth="1"/>
    <col min="5" max="5" width="11.1719" style="235" customWidth="1"/>
    <col min="6" max="6" width="7.67188" style="235" customWidth="1"/>
    <col min="7" max="7" width="17.6719" style="235" customWidth="1"/>
    <col min="8" max="8" width="16.6719" style="235" customWidth="1"/>
    <col min="9" max="9" width="7.35156" style="235" customWidth="1"/>
    <col min="10" max="10" width="5.85156" style="235" customWidth="1"/>
    <col min="11" max="12" width="5.17188" style="235" customWidth="1"/>
    <col min="13" max="13" width="12.5" style="235" customWidth="1"/>
    <col min="14" max="14" width="5.5" style="235" customWidth="1"/>
    <col min="15" max="15" width="8.85156" style="235" customWidth="1"/>
    <col min="16" max="16" width="6" style="235" customWidth="1"/>
    <col min="17" max="17" width="6.85156" style="235" customWidth="1"/>
    <col min="18" max="18" width="7.85156" style="235" customWidth="1"/>
    <col min="19" max="19" width="10.1719" style="235" customWidth="1"/>
    <col min="20" max="20" width="11.1719" style="235" customWidth="1"/>
    <col min="21" max="21" width="9.35156" style="235" customWidth="1"/>
    <col min="22" max="22" width="8.35156" style="235" customWidth="1"/>
    <col min="23" max="23" width="9.85156" style="235" customWidth="1"/>
    <col min="24" max="24" width="8.35156" style="235" customWidth="1"/>
    <col min="25" max="25" width="20.5" style="235" customWidth="1"/>
    <col min="26" max="26" width="14.1719" style="235" customWidth="1"/>
    <col min="27" max="27" width="10.8516" style="235" customWidth="1"/>
    <col min="28" max="28" width="9.85156" style="235" customWidth="1"/>
    <col min="29" max="29" width="8.67188" style="235" customWidth="1"/>
    <col min="30" max="30" width="15" style="235" customWidth="1"/>
    <col min="31" max="31" width="7.85156" style="235" customWidth="1"/>
    <col min="32" max="32" width="16" style="235" customWidth="1"/>
    <col min="33" max="33" width="21.5" style="235" customWidth="1"/>
    <col min="34" max="34" width="14.6719" style="235" customWidth="1"/>
    <col min="35" max="35" width="11" style="235" customWidth="1"/>
    <col min="36" max="36" width="11.1719" style="235" customWidth="1"/>
    <col min="37" max="37" width="7.85156" style="235" customWidth="1"/>
    <col min="38" max="39" width="10.8516" style="235" customWidth="1"/>
    <col min="40" max="40" width="7.35156" style="235" customWidth="1"/>
    <col min="41" max="41" width="10.8516" style="235" customWidth="1"/>
    <col min="42" max="42" width="9.17188" style="235" customWidth="1"/>
    <col min="43" max="43" width="10.8516" style="235" customWidth="1"/>
    <col min="44" max="44" width="12.5" style="235" customWidth="1"/>
    <col min="45" max="45" width="13" style="235" customWidth="1"/>
    <col min="46" max="16384" width="10.8516" style="235" customWidth="1"/>
  </cols>
  <sheetData>
    <row r="1" ht="47" customHeight="1">
      <c r="A1" t="s" s="153">
        <v>6</v>
      </c>
      <c r="B1" t="s" s="153">
        <v>7</v>
      </c>
      <c r="C1" t="s" s="153">
        <v>8</v>
      </c>
      <c r="D1" t="s" s="154">
        <v>9</v>
      </c>
      <c r="E1" t="s" s="154">
        <v>647</v>
      </c>
      <c r="F1" t="s" s="154">
        <v>648</v>
      </c>
      <c r="G1" t="s" s="153">
        <v>10</v>
      </c>
      <c r="H1" t="s" s="154">
        <v>11</v>
      </c>
      <c r="I1" t="s" s="154">
        <v>649</v>
      </c>
      <c r="J1" t="s" s="154">
        <v>650</v>
      </c>
      <c r="K1" t="s" s="154">
        <v>651</v>
      </c>
      <c r="L1" t="s" s="154">
        <v>652</v>
      </c>
      <c r="M1" t="s" s="154">
        <v>653</v>
      </c>
      <c r="N1" t="s" s="154">
        <v>99</v>
      </c>
      <c r="O1" t="s" s="154">
        <v>102</v>
      </c>
      <c r="P1" t="s" s="154">
        <v>654</v>
      </c>
      <c r="Q1" t="s" s="154">
        <v>32</v>
      </c>
      <c r="R1" t="s" s="154">
        <v>33</v>
      </c>
      <c r="S1" t="s" s="154">
        <v>14</v>
      </c>
      <c r="T1" t="s" s="154">
        <v>655</v>
      </c>
      <c r="U1" t="s" s="154">
        <v>656</v>
      </c>
      <c r="V1" t="s" s="154">
        <v>106</v>
      </c>
      <c r="W1" t="s" s="154">
        <v>107</v>
      </c>
      <c r="X1" t="s" s="154">
        <v>657</v>
      </c>
      <c r="Y1" t="s" s="154">
        <v>19</v>
      </c>
      <c r="Z1" t="s" s="154">
        <v>20</v>
      </c>
      <c r="AA1" t="s" s="154">
        <v>108</v>
      </c>
      <c r="AB1" t="s" s="154">
        <v>35</v>
      </c>
      <c r="AC1" t="s" s="154">
        <v>36</v>
      </c>
      <c r="AD1" t="s" s="154">
        <v>658</v>
      </c>
      <c r="AE1" t="s" s="154">
        <v>659</v>
      </c>
      <c r="AF1" t="s" s="154">
        <v>660</v>
      </c>
      <c r="AG1" t="s" s="153">
        <v>661</v>
      </c>
      <c r="AH1" t="s" s="153">
        <v>109</v>
      </c>
      <c r="AI1" t="s" s="153">
        <v>110</v>
      </c>
      <c r="AJ1" t="s" s="154">
        <v>111</v>
      </c>
      <c r="AK1" t="s" s="154">
        <v>112</v>
      </c>
      <c r="AL1" t="s" s="154">
        <v>113</v>
      </c>
      <c r="AM1" t="s" s="154">
        <v>114</v>
      </c>
      <c r="AN1" t="s" s="154">
        <v>115</v>
      </c>
      <c r="AO1" t="s" s="154">
        <v>116</v>
      </c>
      <c r="AP1" t="s" s="154">
        <v>35</v>
      </c>
      <c r="AQ1" t="s" s="154">
        <v>36</v>
      </c>
      <c r="AR1" t="s" s="154">
        <v>117</v>
      </c>
      <c r="AS1" t="s" s="154">
        <v>118</v>
      </c>
    </row>
    <row r="2" ht="47" customHeight="1">
      <c r="A2" t="s" s="155">
        <v>119</v>
      </c>
      <c r="B2" t="s" s="156">
        <v>120</v>
      </c>
      <c r="C2" s="157"/>
      <c r="D2" s="158"/>
      <c r="E2" t="s" s="159">
        <v>662</v>
      </c>
      <c r="F2" s="158"/>
      <c r="G2" s="157"/>
      <c r="H2" s="158"/>
      <c r="I2" s="158"/>
      <c r="J2" s="158"/>
      <c r="K2" s="158"/>
      <c r="L2" s="158"/>
      <c r="M2" t="s" s="160">
        <v>663</v>
      </c>
      <c r="N2" s="158"/>
      <c r="O2" s="158"/>
      <c r="P2" s="158"/>
      <c r="Q2" s="158"/>
      <c r="R2" s="158"/>
      <c r="S2" t="s" s="161">
        <v>121</v>
      </c>
      <c r="T2" s="158"/>
      <c r="U2" t="s" s="162">
        <v>122</v>
      </c>
      <c r="V2" t="s" s="163">
        <v>123</v>
      </c>
      <c r="W2" t="s" s="164">
        <v>664</v>
      </c>
      <c r="X2" s="158"/>
      <c r="Y2" s="158"/>
      <c r="Z2" s="158"/>
      <c r="AA2" s="158"/>
      <c r="AB2" s="158"/>
      <c r="AC2" s="158"/>
      <c r="AD2" s="158"/>
      <c r="AE2" s="157"/>
      <c r="AF2" s="165"/>
      <c r="AG2" s="166"/>
      <c r="AH2" s="157"/>
      <c r="AI2" s="157"/>
      <c r="AJ2" s="157"/>
      <c r="AK2" s="157"/>
      <c r="AL2" s="157"/>
      <c r="AM2" s="157"/>
      <c r="AN2" s="157"/>
      <c r="AO2" s="157"/>
      <c r="AP2" s="157"/>
      <c r="AQ2" s="157"/>
      <c r="AR2" s="157"/>
      <c r="AS2" s="157"/>
    </row>
    <row r="3" ht="19" customHeight="1">
      <c r="A3" t="s" s="167">
        <v>1009</v>
      </c>
      <c r="B3" t="s" s="168">
        <v>1010</v>
      </c>
      <c r="C3" s="169">
        <v>9</v>
      </c>
      <c r="D3" t="s" s="168">
        <v>1011</v>
      </c>
      <c r="E3" s="170"/>
      <c r="F3" t="s" s="168">
        <v>1012</v>
      </c>
      <c r="G3" t="s" s="168">
        <v>1013</v>
      </c>
      <c r="H3" t="s" s="171">
        <v>1014</v>
      </c>
      <c r="I3" s="172"/>
      <c r="J3" s="173">
        <v>1</v>
      </c>
      <c r="K3" s="172"/>
      <c r="L3" s="172"/>
      <c r="M3" s="173">
        <v>1</v>
      </c>
      <c r="N3" s="172"/>
      <c r="O3" s="172"/>
      <c r="P3" s="172"/>
      <c r="Q3" s="172"/>
      <c r="R3" s="172"/>
      <c r="S3" s="173">
        <v>51</v>
      </c>
      <c r="T3" s="173">
        <v>1860</v>
      </c>
      <c r="U3" s="173">
        <v>1</v>
      </c>
      <c r="V3" s="172"/>
      <c r="W3" s="172"/>
      <c r="X3" s="172"/>
      <c r="Y3" t="s" s="171">
        <v>1015</v>
      </c>
      <c r="Z3" t="s" s="171">
        <v>418</v>
      </c>
      <c r="AA3" s="173">
        <v>1</v>
      </c>
      <c r="AB3" s="173">
        <v>1</v>
      </c>
      <c r="AC3" s="172"/>
      <c r="AD3" s="169">
        <v>1</v>
      </c>
      <c r="AE3" s="172"/>
      <c r="AF3" t="s" s="171">
        <v>1016</v>
      </c>
      <c r="AG3" t="s" s="167">
        <v>671</v>
      </c>
      <c r="AH3" t="s" s="168">
        <v>1017</v>
      </c>
      <c r="AI3" s="174"/>
      <c r="AJ3" s="175"/>
      <c r="AK3" s="175"/>
      <c r="AL3" s="175"/>
      <c r="AM3" s="175"/>
      <c r="AN3" s="175"/>
      <c r="AO3" s="175"/>
      <c r="AP3" s="175"/>
      <c r="AQ3" s="175"/>
      <c r="AR3" s="175"/>
      <c r="AS3" s="175"/>
    </row>
    <row r="4" ht="19" customHeight="1">
      <c r="A4" t="s" s="167">
        <v>1009</v>
      </c>
      <c r="B4" t="s" s="167">
        <v>1010</v>
      </c>
      <c r="C4" s="108">
        <v>9</v>
      </c>
      <c r="D4" t="s" s="167">
        <v>1011</v>
      </c>
      <c r="E4" s="105"/>
      <c r="F4" t="s" s="167">
        <v>1012</v>
      </c>
      <c r="G4" t="s" s="167">
        <v>1013</v>
      </c>
      <c r="H4" t="s" s="176">
        <v>1018</v>
      </c>
      <c r="I4" s="97">
        <v>1</v>
      </c>
      <c r="J4" s="98"/>
      <c r="K4" s="98"/>
      <c r="L4" s="98"/>
      <c r="M4" s="98"/>
      <c r="N4" s="97">
        <v>1</v>
      </c>
      <c r="O4" s="98"/>
      <c r="P4" s="98"/>
      <c r="Q4" s="98"/>
      <c r="R4" s="98"/>
      <c r="S4" s="97">
        <v>49</v>
      </c>
      <c r="T4" s="97">
        <v>1862</v>
      </c>
      <c r="U4" s="200">
        <v>1</v>
      </c>
      <c r="V4" s="98"/>
      <c r="W4" s="98"/>
      <c r="X4" s="97">
        <v>27</v>
      </c>
      <c r="Y4" s="98"/>
      <c r="Z4" s="98"/>
      <c r="AA4" s="98"/>
      <c r="AB4" s="98"/>
      <c r="AC4" s="98"/>
      <c r="AD4" s="108">
        <v>1</v>
      </c>
      <c r="AE4" s="98"/>
      <c r="AF4" t="s" s="176">
        <v>1016</v>
      </c>
      <c r="AG4" t="s" s="167">
        <v>671</v>
      </c>
      <c r="AH4" s="178"/>
      <c r="AI4" s="179"/>
      <c r="AJ4" s="180"/>
      <c r="AK4" s="180"/>
      <c r="AL4" s="180"/>
      <c r="AM4" s="180"/>
      <c r="AN4" s="180"/>
      <c r="AO4" s="180"/>
      <c r="AP4" s="180"/>
      <c r="AQ4" s="180"/>
      <c r="AR4" s="180"/>
      <c r="AS4" s="180"/>
    </row>
    <row r="5" ht="19" customHeight="1">
      <c r="A5" t="s" s="167">
        <v>1009</v>
      </c>
      <c r="B5" t="s" s="167">
        <v>1010</v>
      </c>
      <c r="C5" s="108">
        <v>9</v>
      </c>
      <c r="D5" t="s" s="167">
        <v>1011</v>
      </c>
      <c r="E5" s="105"/>
      <c r="F5" t="s" s="167">
        <v>1012</v>
      </c>
      <c r="G5" t="s" s="167">
        <v>1013</v>
      </c>
      <c r="H5" t="s" s="176">
        <v>534</v>
      </c>
      <c r="I5" s="98"/>
      <c r="J5" s="97">
        <v>1</v>
      </c>
      <c r="K5" s="98"/>
      <c r="L5" s="98"/>
      <c r="M5" s="98"/>
      <c r="N5" s="98"/>
      <c r="O5" s="98"/>
      <c r="P5" s="97">
        <v>1</v>
      </c>
      <c r="Q5" s="98"/>
      <c r="R5" s="98"/>
      <c r="S5" s="97">
        <v>26</v>
      </c>
      <c r="T5" s="97">
        <v>1885</v>
      </c>
      <c r="U5" s="98"/>
      <c r="V5" s="97">
        <v>1</v>
      </c>
      <c r="W5" s="98"/>
      <c r="X5" s="98"/>
      <c r="Y5" t="s" s="176">
        <v>1015</v>
      </c>
      <c r="Z5" t="s" s="176">
        <v>418</v>
      </c>
      <c r="AA5" s="97">
        <v>1</v>
      </c>
      <c r="AB5" s="97">
        <v>1</v>
      </c>
      <c r="AC5" s="98"/>
      <c r="AD5" s="108">
        <v>1</v>
      </c>
      <c r="AE5" s="98"/>
      <c r="AF5" t="s" s="176">
        <v>1016</v>
      </c>
      <c r="AG5" t="s" s="167">
        <v>671</v>
      </c>
      <c r="AH5" s="181"/>
      <c r="AI5" s="115"/>
      <c r="AJ5" s="17"/>
      <c r="AK5" s="17"/>
      <c r="AL5" s="17"/>
      <c r="AM5" s="17"/>
      <c r="AN5" s="17"/>
      <c r="AO5" s="17"/>
      <c r="AP5" s="17"/>
      <c r="AQ5" s="17"/>
      <c r="AR5" s="17"/>
      <c r="AS5" s="17"/>
    </row>
    <row r="6" ht="17" customHeight="1">
      <c r="A6" t="s" s="167">
        <v>1009</v>
      </c>
      <c r="B6" t="s" s="167">
        <v>1010</v>
      </c>
      <c r="C6" s="108">
        <v>9</v>
      </c>
      <c r="D6" t="s" s="167">
        <v>1011</v>
      </c>
      <c r="E6" s="105"/>
      <c r="F6" t="s" s="167">
        <v>1012</v>
      </c>
      <c r="G6" t="s" s="167">
        <v>1013</v>
      </c>
      <c r="H6" t="s" s="176">
        <v>496</v>
      </c>
      <c r="I6" s="97">
        <v>1</v>
      </c>
      <c r="J6" s="98"/>
      <c r="K6" s="98"/>
      <c r="L6" s="98"/>
      <c r="M6" s="98"/>
      <c r="N6" s="98"/>
      <c r="O6" s="97">
        <v>1</v>
      </c>
      <c r="P6" s="98"/>
      <c r="Q6" s="98"/>
      <c r="R6" s="98"/>
      <c r="S6" s="97">
        <v>20</v>
      </c>
      <c r="T6" s="97">
        <v>1891</v>
      </c>
      <c r="U6" s="98"/>
      <c r="V6" s="97">
        <v>1</v>
      </c>
      <c r="W6" s="98"/>
      <c r="X6" s="98"/>
      <c r="Y6" s="98"/>
      <c r="Z6" s="98"/>
      <c r="AA6" s="98"/>
      <c r="AB6" s="98"/>
      <c r="AC6" s="98"/>
      <c r="AD6" s="108">
        <v>1</v>
      </c>
      <c r="AE6" s="98"/>
      <c r="AF6" t="s" s="176">
        <v>1016</v>
      </c>
      <c r="AG6" t="s" s="167">
        <v>671</v>
      </c>
      <c r="AH6" s="181"/>
      <c r="AI6" s="115"/>
      <c r="AJ6" s="17"/>
      <c r="AK6" s="17"/>
      <c r="AL6" s="17"/>
      <c r="AM6" s="17"/>
      <c r="AN6" s="17"/>
      <c r="AO6" s="17"/>
      <c r="AP6" s="17"/>
      <c r="AQ6" s="17"/>
      <c r="AR6" s="17"/>
      <c r="AS6" s="17"/>
    </row>
    <row r="7" ht="17" customHeight="1">
      <c r="A7" t="s" s="167">
        <v>1009</v>
      </c>
      <c r="B7" t="s" s="167">
        <v>1010</v>
      </c>
      <c r="C7" s="108">
        <v>9</v>
      </c>
      <c r="D7" t="s" s="167">
        <v>1011</v>
      </c>
      <c r="E7" s="105"/>
      <c r="F7" t="s" s="167">
        <v>1012</v>
      </c>
      <c r="G7" t="s" s="167">
        <v>1013</v>
      </c>
      <c r="H7" t="s" s="176">
        <v>1019</v>
      </c>
      <c r="I7" s="97">
        <v>1</v>
      </c>
      <c r="J7" s="98"/>
      <c r="K7" s="98"/>
      <c r="L7" s="98"/>
      <c r="M7" s="98"/>
      <c r="N7" s="98"/>
      <c r="O7" s="97">
        <v>1</v>
      </c>
      <c r="P7" s="98"/>
      <c r="Q7" s="98"/>
      <c r="R7" s="98"/>
      <c r="S7" s="97">
        <v>19</v>
      </c>
      <c r="T7" s="97">
        <v>1892</v>
      </c>
      <c r="U7" s="98"/>
      <c r="V7" s="97">
        <v>1</v>
      </c>
      <c r="W7" s="98"/>
      <c r="X7" s="98"/>
      <c r="Y7" s="98"/>
      <c r="Z7" s="98"/>
      <c r="AA7" s="98"/>
      <c r="AB7" s="98"/>
      <c r="AC7" s="98"/>
      <c r="AD7" s="108">
        <v>1</v>
      </c>
      <c r="AE7" s="98"/>
      <c r="AF7" t="s" s="176">
        <v>1016</v>
      </c>
      <c r="AG7" t="s" s="167">
        <v>671</v>
      </c>
      <c r="AH7" t="s" s="236">
        <v>900</v>
      </c>
      <c r="AI7" s="233"/>
      <c r="AJ7" s="234"/>
      <c r="AK7" s="234"/>
      <c r="AL7" s="234"/>
      <c r="AM7" s="234"/>
      <c r="AN7" s="234"/>
      <c r="AO7" s="234"/>
      <c r="AP7" s="234"/>
      <c r="AQ7" s="234"/>
      <c r="AR7" s="234"/>
      <c r="AS7" s="234"/>
    </row>
    <row r="8" ht="18" customHeight="1">
      <c r="A8" t="s" s="167">
        <v>1009</v>
      </c>
      <c r="B8" t="s" s="167">
        <v>1010</v>
      </c>
      <c r="C8" s="108">
        <v>9</v>
      </c>
      <c r="D8" t="s" s="167">
        <v>1011</v>
      </c>
      <c r="E8" s="105"/>
      <c r="F8" t="s" s="167">
        <v>1012</v>
      </c>
      <c r="G8" t="s" s="167">
        <v>1020</v>
      </c>
      <c r="H8" t="s" s="176">
        <v>251</v>
      </c>
      <c r="I8" s="98"/>
      <c r="J8" s="97">
        <v>1</v>
      </c>
      <c r="K8" s="98"/>
      <c r="L8" s="98"/>
      <c r="M8" s="98"/>
      <c r="N8" s="98"/>
      <c r="O8" s="98"/>
      <c r="P8" s="98"/>
      <c r="Q8" s="97">
        <v>1</v>
      </c>
      <c r="R8" s="98"/>
      <c r="S8" s="97">
        <v>48</v>
      </c>
      <c r="T8" s="97">
        <v>1863</v>
      </c>
      <c r="U8" s="97">
        <v>1</v>
      </c>
      <c r="V8" s="98"/>
      <c r="W8" s="203"/>
      <c r="X8" s="98"/>
      <c r="Y8" t="s" s="176">
        <v>1021</v>
      </c>
      <c r="Z8" t="s" s="176">
        <v>891</v>
      </c>
      <c r="AA8" s="97">
        <v>1</v>
      </c>
      <c r="AB8" s="97">
        <v>1</v>
      </c>
      <c r="AC8" s="98"/>
      <c r="AD8" s="105"/>
      <c r="AE8" s="97">
        <v>1</v>
      </c>
      <c r="AF8" t="s" s="176">
        <v>1022</v>
      </c>
      <c r="AG8" t="s" s="176">
        <v>1023</v>
      </c>
      <c r="AH8" t="s" s="198">
        <v>1024</v>
      </c>
      <c r="AI8" s="179"/>
      <c r="AJ8" s="180"/>
      <c r="AK8" s="180"/>
      <c r="AL8" s="180"/>
      <c r="AM8" s="180"/>
      <c r="AN8" s="180"/>
      <c r="AO8" s="180"/>
      <c r="AP8" s="180"/>
      <c r="AQ8" s="180"/>
      <c r="AR8" s="180"/>
      <c r="AS8" s="180"/>
    </row>
    <row r="9" ht="17" customHeight="1">
      <c r="A9" t="s" s="167">
        <v>1009</v>
      </c>
      <c r="B9" t="s" s="167">
        <v>1010</v>
      </c>
      <c r="C9" s="108">
        <v>9</v>
      </c>
      <c r="D9" t="s" s="167">
        <v>1011</v>
      </c>
      <c r="E9" s="105"/>
      <c r="F9" t="s" s="167">
        <v>1012</v>
      </c>
      <c r="G9" t="s" s="167">
        <v>1020</v>
      </c>
      <c r="H9" t="s" s="176">
        <v>260</v>
      </c>
      <c r="I9" s="97">
        <v>1</v>
      </c>
      <c r="J9" s="98"/>
      <c r="K9" s="98"/>
      <c r="L9" s="98"/>
      <c r="M9" s="98"/>
      <c r="N9" s="98"/>
      <c r="O9" s="98"/>
      <c r="P9" s="98"/>
      <c r="Q9" s="97">
        <v>1</v>
      </c>
      <c r="R9" s="98"/>
      <c r="S9" s="97">
        <v>48</v>
      </c>
      <c r="T9" s="97">
        <v>1863</v>
      </c>
      <c r="U9" s="200">
        <v>1</v>
      </c>
      <c r="V9" s="98"/>
      <c r="W9" s="98"/>
      <c r="X9" s="97">
        <v>19</v>
      </c>
      <c r="Y9" s="105"/>
      <c r="Z9" s="98"/>
      <c r="AA9" s="98"/>
      <c r="AB9" s="98"/>
      <c r="AC9" s="98"/>
      <c r="AD9" s="105"/>
      <c r="AE9" s="97">
        <v>1</v>
      </c>
      <c r="AF9" t="s" s="176">
        <v>1022</v>
      </c>
      <c r="AG9" t="s" s="167">
        <v>1025</v>
      </c>
      <c r="AH9" t="s" s="196">
        <v>900</v>
      </c>
      <c r="AI9" s="115"/>
      <c r="AJ9" s="17"/>
      <c r="AK9" s="17"/>
      <c r="AL9" s="17"/>
      <c r="AM9" s="17"/>
      <c r="AN9" s="17"/>
      <c r="AO9" s="17"/>
      <c r="AP9" s="17"/>
      <c r="AQ9" s="17"/>
      <c r="AR9" s="17"/>
      <c r="AS9" s="17"/>
    </row>
    <row r="10" ht="16" customHeight="1">
      <c r="A10" t="s" s="167">
        <v>1009</v>
      </c>
      <c r="B10" t="s" s="167">
        <v>1010</v>
      </c>
      <c r="C10" s="108">
        <v>9</v>
      </c>
      <c r="D10" t="s" s="167">
        <v>1011</v>
      </c>
      <c r="E10" s="105"/>
      <c r="F10" t="s" s="167">
        <v>1012</v>
      </c>
      <c r="G10" t="s" s="167">
        <v>1026</v>
      </c>
      <c r="H10" t="s" s="176">
        <v>1027</v>
      </c>
      <c r="I10" s="97">
        <v>1</v>
      </c>
      <c r="J10" s="98"/>
      <c r="K10" s="98"/>
      <c r="L10" s="98"/>
      <c r="M10" s="98"/>
      <c r="N10" s="98"/>
      <c r="O10" s="98"/>
      <c r="P10" s="98"/>
      <c r="Q10" s="97">
        <v>1</v>
      </c>
      <c r="R10" s="98"/>
      <c r="S10" s="97">
        <v>29</v>
      </c>
      <c r="T10" s="97">
        <v>1822</v>
      </c>
      <c r="U10" s="98"/>
      <c r="V10" s="97">
        <v>1</v>
      </c>
      <c r="W10" s="98"/>
      <c r="X10" s="98"/>
      <c r="Y10" s="98"/>
      <c r="Z10" s="98"/>
      <c r="AA10" s="98"/>
      <c r="AB10" s="98"/>
      <c r="AC10" s="98"/>
      <c r="AD10" s="105"/>
      <c r="AE10" s="97">
        <v>1</v>
      </c>
      <c r="AF10" t="s" s="176">
        <v>1022</v>
      </c>
      <c r="AG10" t="s" s="176">
        <v>1028</v>
      </c>
      <c r="AH10" s="181"/>
      <c r="AI10" s="115"/>
      <c r="AJ10" s="17"/>
      <c r="AK10" s="17"/>
      <c r="AL10" s="17"/>
      <c r="AM10" s="17"/>
      <c r="AN10" s="17"/>
      <c r="AO10" s="17"/>
      <c r="AP10" s="17"/>
      <c r="AQ10" s="17"/>
      <c r="AR10" s="17"/>
      <c r="AS10" s="17"/>
    </row>
    <row r="11" ht="16" customHeight="1">
      <c r="A11" t="s" s="167">
        <v>1009</v>
      </c>
      <c r="B11" t="s" s="167">
        <v>1010</v>
      </c>
      <c r="C11" s="108">
        <v>9</v>
      </c>
      <c r="D11" t="s" s="167">
        <v>1011</v>
      </c>
      <c r="E11" s="105"/>
      <c r="F11" t="s" s="167">
        <v>1012</v>
      </c>
      <c r="G11" t="s" s="167">
        <v>346</v>
      </c>
      <c r="H11" t="s" s="176">
        <v>1029</v>
      </c>
      <c r="I11" s="97">
        <v>1</v>
      </c>
      <c r="J11" s="98"/>
      <c r="K11" s="98"/>
      <c r="L11" s="98"/>
      <c r="M11" s="98"/>
      <c r="N11" s="98"/>
      <c r="O11" s="98"/>
      <c r="P11" s="98"/>
      <c r="Q11" s="98"/>
      <c r="R11" s="97">
        <v>1</v>
      </c>
      <c r="S11" s="97">
        <v>19</v>
      </c>
      <c r="T11" s="97">
        <v>1892</v>
      </c>
      <c r="U11" s="98"/>
      <c r="V11" s="97">
        <v>1</v>
      </c>
      <c r="W11" s="98"/>
      <c r="X11" s="98"/>
      <c r="Y11" t="s" s="176">
        <v>33</v>
      </c>
      <c r="Z11" t="s" s="176">
        <v>178</v>
      </c>
      <c r="AA11" s="97">
        <v>1</v>
      </c>
      <c r="AB11" s="98"/>
      <c r="AC11" s="97">
        <v>1</v>
      </c>
      <c r="AD11" s="108">
        <v>1</v>
      </c>
      <c r="AE11" s="98"/>
      <c r="AF11" t="s" s="176">
        <v>1016</v>
      </c>
      <c r="AG11" t="s" s="176">
        <v>1030</v>
      </c>
      <c r="AH11" s="181"/>
      <c r="AI11" s="115"/>
      <c r="AJ11" s="17"/>
      <c r="AK11" s="17"/>
      <c r="AL11" s="17"/>
      <c r="AM11" s="17"/>
      <c r="AN11" s="17"/>
      <c r="AO11" s="17"/>
      <c r="AP11" s="17"/>
      <c r="AQ11" s="17"/>
      <c r="AR11" s="17"/>
      <c r="AS11" s="17"/>
    </row>
    <row r="12" ht="16" customHeight="1">
      <c r="A12" t="s" s="167">
        <v>1009</v>
      </c>
      <c r="B12" t="s" s="167">
        <v>1010</v>
      </c>
      <c r="C12" s="108">
        <v>9</v>
      </c>
      <c r="D12" t="s" s="167">
        <v>1011</v>
      </c>
      <c r="E12" s="105"/>
      <c r="F12" t="s" s="167">
        <v>1012</v>
      </c>
      <c r="G12" t="s" s="167">
        <v>1031</v>
      </c>
      <c r="H12" t="s" s="176">
        <v>260</v>
      </c>
      <c r="I12" s="97">
        <v>1</v>
      </c>
      <c r="J12" s="98"/>
      <c r="K12" s="98"/>
      <c r="L12" s="98"/>
      <c r="M12" s="98"/>
      <c r="N12" s="98"/>
      <c r="O12" s="98"/>
      <c r="P12" s="98"/>
      <c r="Q12" s="98"/>
      <c r="R12" s="97">
        <v>1</v>
      </c>
      <c r="S12" s="97">
        <v>52</v>
      </c>
      <c r="T12" s="97">
        <v>1859</v>
      </c>
      <c r="U12" s="98"/>
      <c r="V12" s="98"/>
      <c r="W12" s="237">
        <v>1</v>
      </c>
      <c r="X12" s="98"/>
      <c r="Y12" t="s" s="176">
        <v>159</v>
      </c>
      <c r="Z12" t="s" s="176">
        <v>178</v>
      </c>
      <c r="AA12" s="97">
        <v>1</v>
      </c>
      <c r="AB12" s="105"/>
      <c r="AC12" s="97">
        <v>1</v>
      </c>
      <c r="AD12" s="105"/>
      <c r="AE12" s="97">
        <v>1</v>
      </c>
      <c r="AF12" t="s" s="176">
        <v>166</v>
      </c>
      <c r="AG12" t="s" s="176">
        <v>999</v>
      </c>
      <c r="AH12" s="181"/>
      <c r="AI12" s="115"/>
      <c r="AJ12" s="17"/>
      <c r="AK12" s="17"/>
      <c r="AL12" s="17"/>
      <c r="AM12" s="17"/>
      <c r="AN12" s="17"/>
      <c r="AO12" s="17"/>
      <c r="AP12" s="17"/>
      <c r="AQ12" s="17"/>
      <c r="AR12" s="17"/>
      <c r="AS12" s="17"/>
    </row>
    <row r="13" ht="16" customHeight="1">
      <c r="A13" t="s" s="167">
        <v>1009</v>
      </c>
      <c r="B13" t="s" s="167">
        <v>1010</v>
      </c>
      <c r="C13" s="108">
        <v>9</v>
      </c>
      <c r="D13" t="s" s="167">
        <v>1011</v>
      </c>
      <c r="E13" s="105"/>
      <c r="F13" t="s" s="167">
        <v>1012</v>
      </c>
      <c r="G13" t="s" s="167">
        <v>1032</v>
      </c>
      <c r="H13" t="s" s="176">
        <v>1033</v>
      </c>
      <c r="I13" s="97">
        <v>1</v>
      </c>
      <c r="J13" s="98"/>
      <c r="K13" s="98"/>
      <c r="L13" s="98"/>
      <c r="M13" s="98"/>
      <c r="N13" s="98"/>
      <c r="O13" s="98"/>
      <c r="P13" s="98"/>
      <c r="Q13" s="98"/>
      <c r="R13" s="97">
        <v>1</v>
      </c>
      <c r="S13" s="97">
        <v>27</v>
      </c>
      <c r="T13" s="97">
        <v>1884</v>
      </c>
      <c r="U13" s="98"/>
      <c r="V13" s="97">
        <v>1</v>
      </c>
      <c r="W13" s="98"/>
      <c r="X13" s="98"/>
      <c r="Y13" t="s" s="176">
        <v>33</v>
      </c>
      <c r="Z13" t="s" s="176">
        <v>178</v>
      </c>
      <c r="AA13" s="97">
        <v>1</v>
      </c>
      <c r="AB13" s="98"/>
      <c r="AC13" s="97">
        <v>1</v>
      </c>
      <c r="AD13" s="105"/>
      <c r="AE13" s="97">
        <v>1</v>
      </c>
      <c r="AF13" t="s" s="176">
        <v>1034</v>
      </c>
      <c r="AG13" t="s" s="176">
        <v>1035</v>
      </c>
      <c r="AH13" s="238"/>
      <c r="AI13" s="233"/>
      <c r="AJ13" s="234"/>
      <c r="AK13" s="234"/>
      <c r="AL13" s="234"/>
      <c r="AM13" s="234"/>
      <c r="AN13" s="234"/>
      <c r="AO13" s="234"/>
      <c r="AP13" s="234"/>
      <c r="AQ13" s="234"/>
      <c r="AR13" s="234"/>
      <c r="AS13" s="234"/>
    </row>
    <row r="14" ht="16" customHeight="1">
      <c r="A14" t="s" s="153">
        <v>1009</v>
      </c>
      <c r="B14" t="s" s="153">
        <v>1010</v>
      </c>
      <c r="C14" s="182">
        <v>9</v>
      </c>
      <c r="D14" t="s" s="153">
        <v>1011</v>
      </c>
      <c r="E14" s="183"/>
      <c r="F14" t="s" s="153">
        <v>1012</v>
      </c>
      <c r="G14" t="s" s="153">
        <v>153</v>
      </c>
      <c r="H14" t="s" s="154">
        <v>1036</v>
      </c>
      <c r="I14" s="184">
        <v>1</v>
      </c>
      <c r="J14" s="185"/>
      <c r="K14" s="185"/>
      <c r="L14" s="185"/>
      <c r="M14" s="185"/>
      <c r="N14" s="185"/>
      <c r="O14" s="185"/>
      <c r="P14" s="185"/>
      <c r="Q14" s="185"/>
      <c r="R14" s="184">
        <v>1</v>
      </c>
      <c r="S14" s="184">
        <v>22</v>
      </c>
      <c r="T14" s="184">
        <v>1889</v>
      </c>
      <c r="U14" s="185"/>
      <c r="V14" s="184">
        <v>1</v>
      </c>
      <c r="W14" s="185"/>
      <c r="X14" s="185"/>
      <c r="Y14" t="s" s="154">
        <v>33</v>
      </c>
      <c r="Z14" t="s" s="154">
        <v>178</v>
      </c>
      <c r="AA14" s="184">
        <v>1</v>
      </c>
      <c r="AB14" s="185"/>
      <c r="AC14" s="184">
        <v>1</v>
      </c>
      <c r="AD14" s="183"/>
      <c r="AE14" s="184">
        <v>1</v>
      </c>
      <c r="AF14" t="s" s="154">
        <v>71</v>
      </c>
      <c r="AG14" t="s" s="154">
        <v>1037</v>
      </c>
      <c r="AH14" s="183"/>
      <c r="AI14" s="218"/>
      <c r="AJ14" s="219"/>
      <c r="AK14" s="219"/>
      <c r="AL14" s="219"/>
      <c r="AM14" s="219"/>
      <c r="AN14" s="219"/>
      <c r="AO14" s="219"/>
      <c r="AP14" s="219"/>
      <c r="AQ14" s="219"/>
      <c r="AR14" s="219"/>
      <c r="AS14" s="219"/>
    </row>
    <row r="15" ht="17" customHeight="1">
      <c r="A15" t="s" s="168">
        <v>1038</v>
      </c>
      <c r="B15" s="170"/>
      <c r="C15" s="169">
        <v>7</v>
      </c>
      <c r="D15" t="s" s="168">
        <v>1011</v>
      </c>
      <c r="E15" s="170"/>
      <c r="F15" s="169">
        <v>563</v>
      </c>
      <c r="G15" t="s" s="168">
        <v>1039</v>
      </c>
      <c r="H15" t="s" s="168">
        <v>1040</v>
      </c>
      <c r="I15" s="170"/>
      <c r="J15" s="169">
        <v>1</v>
      </c>
      <c r="K15" s="170"/>
      <c r="L15" s="170"/>
      <c r="M15" s="169">
        <v>1</v>
      </c>
      <c r="N15" s="170"/>
      <c r="O15" s="172"/>
      <c r="P15" s="172"/>
      <c r="Q15" s="172"/>
      <c r="R15" s="172"/>
      <c r="S15" s="169">
        <v>69</v>
      </c>
      <c r="T15" s="169">
        <v>1842</v>
      </c>
      <c r="U15" s="173">
        <v>1</v>
      </c>
      <c r="V15" s="172"/>
      <c r="W15" s="170"/>
      <c r="X15" s="170"/>
      <c r="Y15" t="s" s="168">
        <v>1041</v>
      </c>
      <c r="Z15" t="s" s="168">
        <v>418</v>
      </c>
      <c r="AA15" s="170"/>
      <c r="AB15" s="170"/>
      <c r="AC15" s="170"/>
      <c r="AD15" s="170"/>
      <c r="AE15" s="169">
        <v>1</v>
      </c>
      <c r="AF15" t="s" s="171">
        <v>225</v>
      </c>
      <c r="AG15" t="s" s="168">
        <v>1042</v>
      </c>
      <c r="AH15" t="s" s="190">
        <v>1043</v>
      </c>
      <c r="AI15" s="194"/>
      <c r="AJ15" s="195"/>
      <c r="AK15" s="195"/>
      <c r="AL15" s="195"/>
      <c r="AM15" s="195"/>
      <c r="AN15" s="195"/>
      <c r="AO15" s="195"/>
      <c r="AP15" s="195"/>
      <c r="AQ15" s="195"/>
      <c r="AR15" s="195"/>
      <c r="AS15" s="195"/>
    </row>
    <row r="16" ht="17" customHeight="1">
      <c r="A16" t="s" s="167">
        <v>1038</v>
      </c>
      <c r="B16" s="105"/>
      <c r="C16" s="108">
        <v>7</v>
      </c>
      <c r="D16" t="s" s="167">
        <v>1011</v>
      </c>
      <c r="E16" s="105"/>
      <c r="F16" s="108">
        <v>563</v>
      </c>
      <c r="G16" t="s" s="167">
        <v>1039</v>
      </c>
      <c r="H16" t="s" s="167">
        <v>511</v>
      </c>
      <c r="I16" s="108">
        <v>1</v>
      </c>
      <c r="J16" s="105"/>
      <c r="K16" s="105"/>
      <c r="L16" s="105"/>
      <c r="M16" s="105"/>
      <c r="N16" s="108">
        <v>1</v>
      </c>
      <c r="O16" s="98"/>
      <c r="P16" s="98"/>
      <c r="Q16" s="98"/>
      <c r="R16" s="98"/>
      <c r="S16" s="97">
        <v>65</v>
      </c>
      <c r="T16" s="97">
        <v>1846</v>
      </c>
      <c r="U16" s="200">
        <v>1</v>
      </c>
      <c r="V16" s="98"/>
      <c r="W16" s="98"/>
      <c r="X16" s="97">
        <v>46</v>
      </c>
      <c r="Y16" s="105"/>
      <c r="Z16" s="105"/>
      <c r="AA16" s="105"/>
      <c r="AB16" s="105"/>
      <c r="AC16" s="105"/>
      <c r="AD16" s="108">
        <v>1</v>
      </c>
      <c r="AE16" s="105"/>
      <c r="AF16" t="s" s="176">
        <v>1016</v>
      </c>
      <c r="AG16" t="s" s="167">
        <v>986</v>
      </c>
      <c r="AH16" s="181"/>
      <c r="AI16" s="115"/>
      <c r="AJ16" s="17"/>
      <c r="AK16" s="17"/>
      <c r="AL16" s="17"/>
      <c r="AM16" s="17"/>
      <c r="AN16" s="17"/>
      <c r="AO16" s="17"/>
      <c r="AP16" s="17"/>
      <c r="AQ16" s="17"/>
      <c r="AR16" s="17"/>
      <c r="AS16" s="17"/>
    </row>
    <row r="17" ht="17" customHeight="1">
      <c r="A17" t="s" s="167">
        <v>1038</v>
      </c>
      <c r="B17" s="105"/>
      <c r="C17" s="108">
        <v>7</v>
      </c>
      <c r="D17" t="s" s="167">
        <v>1011</v>
      </c>
      <c r="E17" s="105"/>
      <c r="F17" s="108">
        <v>563</v>
      </c>
      <c r="G17" t="s" s="167">
        <v>1039</v>
      </c>
      <c r="H17" t="s" s="167">
        <v>241</v>
      </c>
      <c r="I17" s="108">
        <v>1</v>
      </c>
      <c r="J17" s="105"/>
      <c r="K17" s="105"/>
      <c r="L17" s="105"/>
      <c r="M17" s="105"/>
      <c r="N17" s="105"/>
      <c r="O17" s="97">
        <v>1</v>
      </c>
      <c r="P17" s="98"/>
      <c r="Q17" s="98"/>
      <c r="R17" s="98"/>
      <c r="S17" s="97">
        <v>43</v>
      </c>
      <c r="T17" s="97">
        <v>1868</v>
      </c>
      <c r="U17" s="98"/>
      <c r="V17" s="97">
        <v>1</v>
      </c>
      <c r="W17" s="98"/>
      <c r="X17" s="98"/>
      <c r="Y17" s="105"/>
      <c r="Z17" s="105"/>
      <c r="AA17" s="105"/>
      <c r="AB17" s="105"/>
      <c r="AC17" s="105"/>
      <c r="AD17" s="108">
        <v>1</v>
      </c>
      <c r="AE17" s="105"/>
      <c r="AF17" t="s" s="176">
        <v>1016</v>
      </c>
      <c r="AG17" t="s" s="167">
        <v>671</v>
      </c>
      <c r="AH17" s="181"/>
      <c r="AI17" s="115"/>
      <c r="AJ17" s="17"/>
      <c r="AK17" s="17"/>
      <c r="AL17" s="17"/>
      <c r="AM17" s="17"/>
      <c r="AN17" s="17"/>
      <c r="AO17" s="17"/>
      <c r="AP17" s="17"/>
      <c r="AQ17" s="17"/>
      <c r="AR17" s="17"/>
      <c r="AS17" s="17"/>
    </row>
    <row r="18" ht="17" customHeight="1">
      <c r="A18" t="s" s="167">
        <v>1038</v>
      </c>
      <c r="B18" s="105"/>
      <c r="C18" s="108">
        <v>7</v>
      </c>
      <c r="D18" t="s" s="167">
        <v>1011</v>
      </c>
      <c r="E18" s="105"/>
      <c r="F18" s="108">
        <v>563</v>
      </c>
      <c r="G18" t="s" s="167">
        <v>1039</v>
      </c>
      <c r="H18" t="s" s="167">
        <v>1044</v>
      </c>
      <c r="I18" s="108">
        <v>1</v>
      </c>
      <c r="J18" s="105"/>
      <c r="K18" s="105"/>
      <c r="L18" s="105"/>
      <c r="M18" s="105"/>
      <c r="N18" s="105"/>
      <c r="O18" s="97">
        <v>1</v>
      </c>
      <c r="P18" s="98"/>
      <c r="Q18" s="98"/>
      <c r="R18" s="98"/>
      <c r="S18" s="97">
        <v>41</v>
      </c>
      <c r="T18" s="97">
        <v>1870</v>
      </c>
      <c r="U18" s="98"/>
      <c r="V18" s="97">
        <v>1</v>
      </c>
      <c r="W18" s="98"/>
      <c r="X18" s="98"/>
      <c r="Y18" s="105"/>
      <c r="Z18" s="105"/>
      <c r="AA18" s="105"/>
      <c r="AB18" s="105"/>
      <c r="AC18" s="105"/>
      <c r="AD18" s="108">
        <v>1</v>
      </c>
      <c r="AE18" s="105"/>
      <c r="AF18" t="s" s="176">
        <v>1016</v>
      </c>
      <c r="AG18" t="s" s="167">
        <v>671</v>
      </c>
      <c r="AH18" s="181"/>
      <c r="AI18" s="115"/>
      <c r="AJ18" s="17"/>
      <c r="AK18" s="17"/>
      <c r="AL18" s="17"/>
      <c r="AM18" s="17"/>
      <c r="AN18" s="17"/>
      <c r="AO18" s="17"/>
      <c r="AP18" s="17"/>
      <c r="AQ18" s="17"/>
      <c r="AR18" s="17"/>
      <c r="AS18" s="17"/>
    </row>
    <row r="19" ht="17" customHeight="1">
      <c r="A19" t="s" s="167">
        <v>1038</v>
      </c>
      <c r="B19" s="105"/>
      <c r="C19" s="108">
        <v>7</v>
      </c>
      <c r="D19" t="s" s="167">
        <v>1011</v>
      </c>
      <c r="E19" s="105"/>
      <c r="F19" s="108">
        <v>563</v>
      </c>
      <c r="G19" t="s" s="167">
        <v>1039</v>
      </c>
      <c r="H19" t="s" s="167">
        <v>1045</v>
      </c>
      <c r="I19" s="108">
        <v>1</v>
      </c>
      <c r="J19" s="105"/>
      <c r="K19" s="105"/>
      <c r="L19" s="105"/>
      <c r="M19" s="105"/>
      <c r="N19" s="105"/>
      <c r="O19" s="97">
        <v>1</v>
      </c>
      <c r="P19" s="98"/>
      <c r="Q19" s="98"/>
      <c r="R19" s="98"/>
      <c r="S19" s="97">
        <v>33</v>
      </c>
      <c r="T19" s="97">
        <v>1878</v>
      </c>
      <c r="U19" s="98"/>
      <c r="V19" s="97">
        <v>1</v>
      </c>
      <c r="W19" s="98"/>
      <c r="X19" s="98"/>
      <c r="Y19" s="105"/>
      <c r="Z19" s="105"/>
      <c r="AA19" s="105"/>
      <c r="AB19" s="105"/>
      <c r="AC19" s="105"/>
      <c r="AD19" s="108">
        <v>1</v>
      </c>
      <c r="AE19" s="105"/>
      <c r="AF19" t="s" s="176">
        <v>1016</v>
      </c>
      <c r="AG19" t="s" s="167">
        <v>671</v>
      </c>
      <c r="AH19" s="181"/>
      <c r="AI19" s="115"/>
      <c r="AJ19" s="17"/>
      <c r="AK19" s="17"/>
      <c r="AL19" s="17"/>
      <c r="AM19" s="17"/>
      <c r="AN19" s="17"/>
      <c r="AO19" s="17"/>
      <c r="AP19" s="17"/>
      <c r="AQ19" s="17"/>
      <c r="AR19" s="17"/>
      <c r="AS19" s="17"/>
    </row>
    <row r="20" ht="17" customHeight="1">
      <c r="A20" t="s" s="167">
        <v>1038</v>
      </c>
      <c r="B20" s="105"/>
      <c r="C20" s="108">
        <v>7</v>
      </c>
      <c r="D20" t="s" s="167">
        <v>1011</v>
      </c>
      <c r="E20" s="105"/>
      <c r="F20" s="108">
        <v>563</v>
      </c>
      <c r="G20" t="s" s="167">
        <v>804</v>
      </c>
      <c r="H20" t="s" s="167">
        <v>534</v>
      </c>
      <c r="I20" s="105"/>
      <c r="J20" s="108">
        <v>1</v>
      </c>
      <c r="K20" s="105"/>
      <c r="L20" s="105"/>
      <c r="M20" s="105"/>
      <c r="N20" s="105"/>
      <c r="O20" s="98"/>
      <c r="P20" s="98"/>
      <c r="Q20" s="98"/>
      <c r="R20" s="97">
        <v>1</v>
      </c>
      <c r="S20" s="108">
        <v>32</v>
      </c>
      <c r="T20" s="108">
        <v>1879</v>
      </c>
      <c r="U20" s="97">
        <v>1</v>
      </c>
      <c r="V20" s="98"/>
      <c r="W20" s="105"/>
      <c r="X20" s="108">
        <v>2</v>
      </c>
      <c r="Y20" t="s" s="167">
        <v>776</v>
      </c>
      <c r="Z20" t="s" s="167">
        <v>178</v>
      </c>
      <c r="AA20" s="108">
        <v>1</v>
      </c>
      <c r="AB20" s="105"/>
      <c r="AC20" s="108">
        <v>1</v>
      </c>
      <c r="AD20" s="105"/>
      <c r="AE20" s="108">
        <v>1</v>
      </c>
      <c r="AF20" t="s" s="176">
        <v>863</v>
      </c>
      <c r="AG20" t="s" s="167">
        <v>1046</v>
      </c>
      <c r="AH20" s="181"/>
      <c r="AI20" s="115"/>
      <c r="AJ20" s="17"/>
      <c r="AK20" s="17"/>
      <c r="AL20" s="17"/>
      <c r="AM20" s="17"/>
      <c r="AN20" s="17"/>
      <c r="AO20" s="17"/>
      <c r="AP20" s="17"/>
      <c r="AQ20" s="17"/>
      <c r="AR20" s="17"/>
      <c r="AS20" s="17"/>
    </row>
    <row r="21" ht="17" customHeight="1">
      <c r="A21" t="s" s="167">
        <v>1038</v>
      </c>
      <c r="B21" s="105"/>
      <c r="C21" s="108">
        <v>7</v>
      </c>
      <c r="D21" t="s" s="167">
        <v>1011</v>
      </c>
      <c r="E21" s="105"/>
      <c r="F21" s="108">
        <v>563</v>
      </c>
      <c r="G21" t="s" s="167">
        <v>1047</v>
      </c>
      <c r="H21" t="s" s="167">
        <v>1048</v>
      </c>
      <c r="I21" s="108">
        <v>1</v>
      </c>
      <c r="J21" s="105"/>
      <c r="K21" s="105"/>
      <c r="L21" s="105"/>
      <c r="M21" s="105"/>
      <c r="N21" s="105"/>
      <c r="O21" s="98"/>
      <c r="P21" s="98"/>
      <c r="Q21" s="98"/>
      <c r="R21" s="97">
        <v>1</v>
      </c>
      <c r="S21" s="97">
        <v>30</v>
      </c>
      <c r="T21" s="97">
        <v>1881</v>
      </c>
      <c r="U21" s="98"/>
      <c r="V21" s="97">
        <v>1</v>
      </c>
      <c r="W21" s="98"/>
      <c r="X21" s="98"/>
      <c r="Y21" t="s" s="167">
        <v>159</v>
      </c>
      <c r="Z21" t="s" s="167">
        <v>178</v>
      </c>
      <c r="AA21" s="108">
        <v>1</v>
      </c>
      <c r="AB21" s="105"/>
      <c r="AC21" s="108">
        <v>1</v>
      </c>
      <c r="AD21" s="105"/>
      <c r="AE21" s="108">
        <v>1</v>
      </c>
      <c r="AF21" t="s" s="167">
        <v>225</v>
      </c>
      <c r="AG21" t="s" s="167">
        <v>1049</v>
      </c>
      <c r="AH21" s="181"/>
      <c r="AI21" s="115"/>
      <c r="AJ21" s="17"/>
      <c r="AK21" s="17"/>
      <c r="AL21" s="17"/>
      <c r="AM21" s="17"/>
      <c r="AN21" s="17"/>
      <c r="AO21" s="17"/>
      <c r="AP21" s="17"/>
      <c r="AQ21" s="17"/>
      <c r="AR21" s="17"/>
      <c r="AS21" s="17"/>
    </row>
    <row r="22" ht="17" customHeight="1">
      <c r="A22" t="s" s="167">
        <v>1038</v>
      </c>
      <c r="B22" s="105"/>
      <c r="C22" s="108">
        <v>7</v>
      </c>
      <c r="D22" t="s" s="167">
        <v>1011</v>
      </c>
      <c r="E22" s="105"/>
      <c r="F22" s="108">
        <v>563</v>
      </c>
      <c r="G22" t="s" s="167">
        <v>1050</v>
      </c>
      <c r="H22" t="s" s="167">
        <v>686</v>
      </c>
      <c r="I22" s="108">
        <v>1</v>
      </c>
      <c r="J22" s="105"/>
      <c r="K22" s="105"/>
      <c r="L22" s="105"/>
      <c r="M22" s="105"/>
      <c r="N22" s="105"/>
      <c r="O22" s="98"/>
      <c r="P22" s="98"/>
      <c r="Q22" s="98"/>
      <c r="R22" s="97">
        <v>1</v>
      </c>
      <c r="S22" s="97">
        <v>26</v>
      </c>
      <c r="T22" s="97">
        <v>1885</v>
      </c>
      <c r="U22" s="98"/>
      <c r="V22" s="97">
        <v>1</v>
      </c>
      <c r="W22" s="98"/>
      <c r="X22" s="98"/>
      <c r="Y22" t="s" s="167">
        <v>159</v>
      </c>
      <c r="Z22" t="s" s="167">
        <v>178</v>
      </c>
      <c r="AA22" s="108">
        <v>1</v>
      </c>
      <c r="AB22" s="105"/>
      <c r="AC22" s="108">
        <v>1</v>
      </c>
      <c r="AD22" s="105"/>
      <c r="AE22" s="108">
        <v>1</v>
      </c>
      <c r="AF22" t="s" s="167">
        <v>225</v>
      </c>
      <c r="AG22" t="s" s="167">
        <v>1051</v>
      </c>
      <c r="AH22" s="238"/>
      <c r="AI22" s="233"/>
      <c r="AJ22" s="234"/>
      <c r="AK22" s="234"/>
      <c r="AL22" s="234"/>
      <c r="AM22" s="234"/>
      <c r="AN22" s="234"/>
      <c r="AO22" s="234"/>
      <c r="AP22" s="234"/>
      <c r="AQ22" s="234"/>
      <c r="AR22" s="234"/>
      <c r="AS22" s="234"/>
    </row>
    <row r="23" ht="18" customHeight="1">
      <c r="A23" t="s" s="153">
        <v>1038</v>
      </c>
      <c r="B23" s="183"/>
      <c r="C23" s="182">
        <v>7</v>
      </c>
      <c r="D23" t="s" s="153">
        <v>1011</v>
      </c>
      <c r="E23" s="183"/>
      <c r="F23" s="182">
        <v>563</v>
      </c>
      <c r="G23" t="s" s="153">
        <v>1052</v>
      </c>
      <c r="H23" t="s" s="153">
        <v>1053</v>
      </c>
      <c r="I23" s="182">
        <v>1</v>
      </c>
      <c r="J23" s="183"/>
      <c r="K23" s="183"/>
      <c r="L23" s="183"/>
      <c r="M23" s="183"/>
      <c r="N23" s="183"/>
      <c r="O23" s="185"/>
      <c r="P23" s="185"/>
      <c r="Q23" s="185"/>
      <c r="R23" s="184">
        <v>1</v>
      </c>
      <c r="S23" s="184">
        <v>23</v>
      </c>
      <c r="T23" s="184">
        <v>1888</v>
      </c>
      <c r="U23" s="185"/>
      <c r="V23" s="184">
        <v>1</v>
      </c>
      <c r="W23" s="185"/>
      <c r="X23" s="185"/>
      <c r="Y23" t="s" s="153">
        <v>159</v>
      </c>
      <c r="Z23" t="s" s="153">
        <v>178</v>
      </c>
      <c r="AA23" s="182">
        <v>1</v>
      </c>
      <c r="AB23" s="183"/>
      <c r="AC23" s="182">
        <v>1</v>
      </c>
      <c r="AD23" s="108">
        <v>1</v>
      </c>
      <c r="AE23" s="183"/>
      <c r="AF23" t="s" s="154">
        <v>1016</v>
      </c>
      <c r="AG23" t="s" s="153">
        <v>1054</v>
      </c>
      <c r="AH23" s="183"/>
      <c r="AI23" s="218"/>
      <c r="AJ23" s="219"/>
      <c r="AK23" s="219"/>
      <c r="AL23" s="219"/>
      <c r="AM23" s="219"/>
      <c r="AN23" s="219"/>
      <c r="AO23" s="219"/>
      <c r="AP23" s="219"/>
      <c r="AQ23" s="219"/>
      <c r="AR23" s="219"/>
      <c r="AS23" s="219"/>
    </row>
    <row r="24" ht="17" customHeight="1">
      <c r="A24" t="s" s="168">
        <v>1055</v>
      </c>
      <c r="B24" t="s" s="168">
        <v>1056</v>
      </c>
      <c r="C24" s="169">
        <v>5</v>
      </c>
      <c r="D24" t="s" s="168">
        <v>1011</v>
      </c>
      <c r="E24" s="170"/>
      <c r="F24" s="169">
        <v>562</v>
      </c>
      <c r="G24" t="s" s="168">
        <v>1057</v>
      </c>
      <c r="H24" t="s" s="168">
        <v>534</v>
      </c>
      <c r="I24" s="170"/>
      <c r="J24" s="169">
        <v>1</v>
      </c>
      <c r="K24" s="170"/>
      <c r="L24" s="170"/>
      <c r="M24" s="169">
        <v>1</v>
      </c>
      <c r="N24" s="170"/>
      <c r="O24" s="172"/>
      <c r="P24" s="172"/>
      <c r="Q24" s="172"/>
      <c r="R24" s="172"/>
      <c r="S24" s="173">
        <v>51</v>
      </c>
      <c r="T24" s="173">
        <v>1860</v>
      </c>
      <c r="U24" s="172"/>
      <c r="V24" s="173">
        <v>1</v>
      </c>
      <c r="W24" s="172"/>
      <c r="X24" s="172"/>
      <c r="Y24" t="s" s="168">
        <v>337</v>
      </c>
      <c r="Z24" t="s" s="168">
        <v>670</v>
      </c>
      <c r="AA24" s="169">
        <v>1</v>
      </c>
      <c r="AB24" s="169">
        <v>1</v>
      </c>
      <c r="AC24" s="170"/>
      <c r="AD24" s="108">
        <v>1</v>
      </c>
      <c r="AE24" s="170"/>
      <c r="AF24" t="s" s="168">
        <v>1016</v>
      </c>
      <c r="AG24" t="s" s="168">
        <v>671</v>
      </c>
      <c r="AH24" t="s" s="190">
        <v>1058</v>
      </c>
      <c r="AI24" s="194"/>
      <c r="AJ24" s="195"/>
      <c r="AK24" s="195"/>
      <c r="AL24" s="195"/>
      <c r="AM24" s="195"/>
      <c r="AN24" s="195"/>
      <c r="AO24" s="195"/>
      <c r="AP24" s="195"/>
      <c r="AQ24" s="195"/>
      <c r="AR24" s="195"/>
      <c r="AS24" s="195"/>
    </row>
    <row r="25" ht="18" customHeight="1">
      <c r="A25" t="s" s="167">
        <v>1055</v>
      </c>
      <c r="B25" t="s" s="167">
        <v>1056</v>
      </c>
      <c r="C25" s="108">
        <v>5</v>
      </c>
      <c r="D25" t="s" s="167">
        <v>1011</v>
      </c>
      <c r="E25" s="105"/>
      <c r="F25" s="108">
        <v>562</v>
      </c>
      <c r="G25" t="s" s="167">
        <v>128</v>
      </c>
      <c r="H25" t="s" s="167">
        <v>1059</v>
      </c>
      <c r="I25" s="108">
        <v>1</v>
      </c>
      <c r="J25" s="105"/>
      <c r="K25" s="105"/>
      <c r="L25" s="105"/>
      <c r="M25" s="105"/>
      <c r="N25" s="105"/>
      <c r="O25" s="98"/>
      <c r="P25" s="98"/>
      <c r="Q25" s="98"/>
      <c r="R25" s="97">
        <v>1</v>
      </c>
      <c r="S25" s="97">
        <v>62</v>
      </c>
      <c r="T25" s="97">
        <v>1849</v>
      </c>
      <c r="U25" s="98"/>
      <c r="V25" s="97">
        <v>1</v>
      </c>
      <c r="W25" s="98"/>
      <c r="X25" s="98"/>
      <c r="Y25" t="s" s="167">
        <v>159</v>
      </c>
      <c r="Z25" t="s" s="167">
        <v>178</v>
      </c>
      <c r="AA25" s="108">
        <v>1</v>
      </c>
      <c r="AB25" s="105"/>
      <c r="AC25" s="108">
        <v>1</v>
      </c>
      <c r="AD25" s="108">
        <v>1</v>
      </c>
      <c r="AE25" s="105"/>
      <c r="AF25" t="s" s="176">
        <v>1016</v>
      </c>
      <c r="AG25" t="s" s="167">
        <v>671</v>
      </c>
      <c r="AH25" s="181"/>
      <c r="AI25" s="115"/>
      <c r="AJ25" s="17"/>
      <c r="AK25" s="17"/>
      <c r="AL25" s="17"/>
      <c r="AM25" s="17"/>
      <c r="AN25" s="17"/>
      <c r="AO25" s="17"/>
      <c r="AP25" s="17"/>
      <c r="AQ25" s="17"/>
      <c r="AR25" s="17"/>
      <c r="AS25" s="17"/>
    </row>
    <row r="26" ht="17" customHeight="1">
      <c r="A26" t="s" s="167">
        <v>1055</v>
      </c>
      <c r="B26" t="s" s="167">
        <v>1056</v>
      </c>
      <c r="C26" s="108">
        <v>5</v>
      </c>
      <c r="D26" t="s" s="167">
        <v>1011</v>
      </c>
      <c r="E26" s="105"/>
      <c r="F26" s="108">
        <v>562</v>
      </c>
      <c r="G26" t="s" s="167">
        <v>1060</v>
      </c>
      <c r="H26" t="s" s="167">
        <v>215</v>
      </c>
      <c r="I26" s="108">
        <v>1</v>
      </c>
      <c r="J26" s="105"/>
      <c r="K26" s="105"/>
      <c r="L26" s="105"/>
      <c r="M26" s="105"/>
      <c r="N26" s="105"/>
      <c r="O26" s="98"/>
      <c r="P26" s="98"/>
      <c r="Q26" s="98"/>
      <c r="R26" s="97">
        <v>1</v>
      </c>
      <c r="S26" s="97">
        <v>35</v>
      </c>
      <c r="T26" s="97">
        <v>1876</v>
      </c>
      <c r="U26" s="98"/>
      <c r="V26" s="97">
        <v>1</v>
      </c>
      <c r="W26" s="98"/>
      <c r="X26" s="98"/>
      <c r="Y26" t="s" s="167">
        <v>1061</v>
      </c>
      <c r="Z26" t="s" s="167">
        <v>178</v>
      </c>
      <c r="AA26" s="108">
        <v>1</v>
      </c>
      <c r="AB26" s="105"/>
      <c r="AC26" s="108">
        <v>1</v>
      </c>
      <c r="AD26" s="105"/>
      <c r="AE26" s="108">
        <v>1</v>
      </c>
      <c r="AF26" t="s" s="176">
        <v>225</v>
      </c>
      <c r="AG26" t="s" s="167">
        <v>1062</v>
      </c>
      <c r="AH26" s="181"/>
      <c r="AI26" s="115"/>
      <c r="AJ26" s="17"/>
      <c r="AK26" s="17"/>
      <c r="AL26" s="17"/>
      <c r="AM26" s="17"/>
      <c r="AN26" s="17"/>
      <c r="AO26" s="17"/>
      <c r="AP26" s="17"/>
      <c r="AQ26" s="17"/>
      <c r="AR26" s="17"/>
      <c r="AS26" s="17"/>
    </row>
    <row r="27" ht="17" customHeight="1">
      <c r="A27" t="s" s="153">
        <v>1055</v>
      </c>
      <c r="B27" t="s" s="153">
        <v>1056</v>
      </c>
      <c r="C27" s="182">
        <v>5</v>
      </c>
      <c r="D27" t="s" s="153">
        <v>1011</v>
      </c>
      <c r="E27" s="183"/>
      <c r="F27" s="182">
        <v>562</v>
      </c>
      <c r="G27" t="s" s="153">
        <v>1063</v>
      </c>
      <c r="H27" t="s" s="153">
        <v>253</v>
      </c>
      <c r="I27" s="182">
        <v>1</v>
      </c>
      <c r="J27" s="183"/>
      <c r="K27" s="183"/>
      <c r="L27" s="183"/>
      <c r="M27" s="183"/>
      <c r="N27" s="183"/>
      <c r="O27" s="185"/>
      <c r="P27" s="185"/>
      <c r="Q27" s="185"/>
      <c r="R27" s="184">
        <v>1</v>
      </c>
      <c r="S27" s="182">
        <v>29</v>
      </c>
      <c r="T27" s="182">
        <v>1882</v>
      </c>
      <c r="U27" s="185"/>
      <c r="V27" s="184">
        <v>1</v>
      </c>
      <c r="W27" s="210"/>
      <c r="X27" s="183"/>
      <c r="Y27" t="s" s="153">
        <v>162</v>
      </c>
      <c r="Z27" t="s" s="153">
        <v>178</v>
      </c>
      <c r="AA27" s="182">
        <v>1</v>
      </c>
      <c r="AB27" s="183"/>
      <c r="AC27" s="182">
        <v>1</v>
      </c>
      <c r="AD27" s="183"/>
      <c r="AE27" s="182">
        <v>1</v>
      </c>
      <c r="AF27" t="s" s="153">
        <v>146</v>
      </c>
      <c r="AG27" t="s" s="153">
        <v>1064</v>
      </c>
      <c r="AH27" s="187"/>
      <c r="AI27" s="188"/>
      <c r="AJ27" s="189"/>
      <c r="AK27" s="189"/>
      <c r="AL27" s="189"/>
      <c r="AM27" s="189"/>
      <c r="AN27" s="189"/>
      <c r="AO27" s="189"/>
      <c r="AP27" s="189"/>
      <c r="AQ27" s="189"/>
      <c r="AR27" s="189"/>
      <c r="AS27" s="189"/>
    </row>
    <row r="28" ht="17.5" customHeight="1">
      <c r="A28" t="s" s="168">
        <v>1065</v>
      </c>
      <c r="B28" s="170"/>
      <c r="C28" s="169">
        <v>3</v>
      </c>
      <c r="D28" t="s" s="168">
        <v>1011</v>
      </c>
      <c r="E28" s="170"/>
      <c r="F28" s="169">
        <v>601</v>
      </c>
      <c r="G28" t="s" s="168">
        <v>1066</v>
      </c>
      <c r="H28" t="s" s="168">
        <v>1040</v>
      </c>
      <c r="I28" s="170"/>
      <c r="J28" s="169">
        <v>1</v>
      </c>
      <c r="K28" s="170"/>
      <c r="L28" s="170"/>
      <c r="M28" s="169">
        <v>1</v>
      </c>
      <c r="N28" s="170"/>
      <c r="O28" s="172"/>
      <c r="P28" s="172"/>
      <c r="Q28" s="172"/>
      <c r="R28" s="172"/>
      <c r="S28" s="173">
        <v>77</v>
      </c>
      <c r="T28" s="173">
        <v>1834</v>
      </c>
      <c r="U28" s="173">
        <v>1</v>
      </c>
      <c r="V28" s="172"/>
      <c r="W28" s="172"/>
      <c r="X28" s="172"/>
      <c r="Y28" t="s" s="168">
        <v>1067</v>
      </c>
      <c r="Z28" t="s" s="168">
        <v>1068</v>
      </c>
      <c r="AA28" s="170"/>
      <c r="AB28" s="170"/>
      <c r="AC28" s="170"/>
      <c r="AD28" s="170"/>
      <c r="AE28" s="169">
        <v>1</v>
      </c>
      <c r="AF28" t="s" s="168">
        <v>814</v>
      </c>
      <c r="AG28" t="s" s="168">
        <v>1069</v>
      </c>
      <c r="AH28" t="s" s="168">
        <v>1070</v>
      </c>
      <c r="AI28" s="174"/>
      <c r="AJ28" s="175"/>
      <c r="AK28" s="175"/>
      <c r="AL28" s="175"/>
      <c r="AM28" s="175"/>
      <c r="AN28" s="175"/>
      <c r="AO28" s="175"/>
      <c r="AP28" s="175"/>
      <c r="AQ28" s="175"/>
      <c r="AR28" s="175"/>
      <c r="AS28" s="175"/>
    </row>
    <row r="29" ht="17" customHeight="1">
      <c r="A29" t="s" s="167">
        <v>1065</v>
      </c>
      <c r="B29" s="105"/>
      <c r="C29" s="108">
        <v>3</v>
      </c>
      <c r="D29" t="s" s="167">
        <v>1011</v>
      </c>
      <c r="E29" s="105"/>
      <c r="F29" s="108">
        <v>601</v>
      </c>
      <c r="G29" t="s" s="167">
        <v>1066</v>
      </c>
      <c r="H29" t="s" s="167">
        <v>1071</v>
      </c>
      <c r="I29" s="108">
        <v>1</v>
      </c>
      <c r="J29" s="105"/>
      <c r="K29" s="105"/>
      <c r="L29" s="105"/>
      <c r="M29" s="105"/>
      <c r="N29" s="108">
        <v>1</v>
      </c>
      <c r="O29" s="98"/>
      <c r="P29" s="98"/>
      <c r="Q29" s="98"/>
      <c r="R29" s="98"/>
      <c r="S29" s="97">
        <v>70</v>
      </c>
      <c r="T29" s="97">
        <v>1841</v>
      </c>
      <c r="U29" s="200">
        <v>1</v>
      </c>
      <c r="V29" s="98"/>
      <c r="W29" s="98"/>
      <c r="X29" s="97">
        <v>41</v>
      </c>
      <c r="Y29" s="105"/>
      <c r="Z29" s="105"/>
      <c r="AA29" s="105"/>
      <c r="AB29" s="105"/>
      <c r="AC29" s="105"/>
      <c r="AD29" s="108">
        <v>1</v>
      </c>
      <c r="AE29" s="105"/>
      <c r="AF29" t="s" s="167">
        <v>1016</v>
      </c>
      <c r="AG29" t="s" s="167">
        <v>671</v>
      </c>
      <c r="AH29" t="s" s="198">
        <v>1072</v>
      </c>
      <c r="AI29" s="179"/>
      <c r="AJ29" s="180"/>
      <c r="AK29" s="180"/>
      <c r="AL29" s="180"/>
      <c r="AM29" s="180"/>
      <c r="AN29" s="180"/>
      <c r="AO29" s="180"/>
      <c r="AP29" s="180"/>
      <c r="AQ29" s="180"/>
      <c r="AR29" s="180"/>
      <c r="AS29" s="180"/>
    </row>
    <row r="30" ht="17" customHeight="1">
      <c r="A30" t="s" s="167">
        <v>1065</v>
      </c>
      <c r="B30" s="105"/>
      <c r="C30" s="108">
        <v>3</v>
      </c>
      <c r="D30" t="s" s="167">
        <v>1011</v>
      </c>
      <c r="E30" s="105"/>
      <c r="F30" s="108">
        <v>601</v>
      </c>
      <c r="G30" t="s" s="167">
        <v>1066</v>
      </c>
      <c r="H30" t="s" s="167">
        <v>1073</v>
      </c>
      <c r="I30" s="108">
        <v>1</v>
      </c>
      <c r="J30" s="105"/>
      <c r="K30" s="105"/>
      <c r="L30" s="105"/>
      <c r="M30" s="105"/>
      <c r="N30" s="98"/>
      <c r="O30" s="97">
        <v>1</v>
      </c>
      <c r="P30" s="98"/>
      <c r="Q30" s="98"/>
      <c r="R30" s="98"/>
      <c r="S30" s="97">
        <v>40</v>
      </c>
      <c r="T30" s="97">
        <v>1871</v>
      </c>
      <c r="U30" s="98"/>
      <c r="V30" s="97">
        <v>1</v>
      </c>
      <c r="W30" s="203"/>
      <c r="X30" s="98"/>
      <c r="Y30" s="105"/>
      <c r="Z30" s="105"/>
      <c r="AA30" s="105"/>
      <c r="AB30" s="105"/>
      <c r="AC30" s="105"/>
      <c r="AD30" s="108">
        <v>1</v>
      </c>
      <c r="AE30" s="105"/>
      <c r="AF30" t="s" s="167">
        <v>1016</v>
      </c>
      <c r="AG30" t="s" s="167">
        <v>671</v>
      </c>
      <c r="AH30" s="181"/>
      <c r="AI30" s="115"/>
      <c r="AJ30" s="17"/>
      <c r="AK30" s="17"/>
      <c r="AL30" s="17"/>
      <c r="AM30" s="17"/>
      <c r="AN30" s="17"/>
      <c r="AO30" s="17"/>
      <c r="AP30" s="17"/>
      <c r="AQ30" s="17"/>
      <c r="AR30" s="17"/>
      <c r="AS30" s="17"/>
    </row>
    <row r="31" ht="17" customHeight="1">
      <c r="A31" t="s" s="167">
        <v>1065</v>
      </c>
      <c r="B31" s="105"/>
      <c r="C31" s="108">
        <v>3</v>
      </c>
      <c r="D31" t="s" s="167">
        <v>1011</v>
      </c>
      <c r="E31" s="105"/>
      <c r="F31" s="108">
        <v>601</v>
      </c>
      <c r="G31" t="s" s="167">
        <v>1066</v>
      </c>
      <c r="H31" t="s" s="167">
        <v>399</v>
      </c>
      <c r="I31" s="108">
        <v>1</v>
      </c>
      <c r="J31" s="105"/>
      <c r="K31" s="105"/>
      <c r="L31" s="105"/>
      <c r="M31" s="105"/>
      <c r="N31" s="98"/>
      <c r="O31" s="97">
        <v>1</v>
      </c>
      <c r="P31" s="98"/>
      <c r="Q31" s="98"/>
      <c r="R31" s="98"/>
      <c r="S31" s="97">
        <v>37</v>
      </c>
      <c r="T31" s="97">
        <v>1874</v>
      </c>
      <c r="U31" s="98"/>
      <c r="V31" s="97">
        <v>1</v>
      </c>
      <c r="W31" s="98"/>
      <c r="X31" s="98"/>
      <c r="Y31" s="105"/>
      <c r="Z31" s="105"/>
      <c r="AA31" s="105"/>
      <c r="AB31" s="105"/>
      <c r="AC31" s="105"/>
      <c r="AD31" s="108">
        <v>1</v>
      </c>
      <c r="AE31" s="105"/>
      <c r="AF31" t="s" s="176">
        <v>1016</v>
      </c>
      <c r="AG31" t="s" s="167">
        <v>671</v>
      </c>
      <c r="AH31" s="181"/>
      <c r="AI31" s="115"/>
      <c r="AJ31" s="17"/>
      <c r="AK31" s="17"/>
      <c r="AL31" s="17"/>
      <c r="AM31" s="17"/>
      <c r="AN31" s="17"/>
      <c r="AO31" s="17"/>
      <c r="AP31" s="17"/>
      <c r="AQ31" s="17"/>
      <c r="AR31" s="17"/>
      <c r="AS31" s="17"/>
    </row>
    <row r="32" ht="17" customHeight="1">
      <c r="A32" t="s" s="167">
        <v>1065</v>
      </c>
      <c r="B32" s="105"/>
      <c r="C32" s="108">
        <v>3</v>
      </c>
      <c r="D32" t="s" s="167">
        <v>1011</v>
      </c>
      <c r="E32" s="105"/>
      <c r="F32" s="108">
        <v>601</v>
      </c>
      <c r="G32" t="s" s="167">
        <v>1074</v>
      </c>
      <c r="H32" t="s" s="167">
        <v>1075</v>
      </c>
      <c r="I32" s="108">
        <v>1</v>
      </c>
      <c r="J32" s="105"/>
      <c r="K32" s="105"/>
      <c r="L32" s="105"/>
      <c r="M32" s="105"/>
      <c r="N32" s="105"/>
      <c r="O32" s="98"/>
      <c r="P32" s="98"/>
      <c r="Q32" s="98"/>
      <c r="R32" s="97">
        <v>1</v>
      </c>
      <c r="S32" s="108">
        <v>28</v>
      </c>
      <c r="T32" s="108">
        <v>1883</v>
      </c>
      <c r="U32" s="98"/>
      <c r="V32" s="97">
        <v>1</v>
      </c>
      <c r="W32" s="105"/>
      <c r="X32" s="105"/>
      <c r="Y32" t="s" s="167">
        <v>159</v>
      </c>
      <c r="Z32" s="105"/>
      <c r="AA32" s="108">
        <v>1</v>
      </c>
      <c r="AB32" s="105"/>
      <c r="AC32" s="108">
        <v>1</v>
      </c>
      <c r="AD32" s="105"/>
      <c r="AE32" s="108">
        <v>1</v>
      </c>
      <c r="AF32" t="s" s="167">
        <v>71</v>
      </c>
      <c r="AG32" t="s" s="167">
        <v>1076</v>
      </c>
      <c r="AH32" s="181"/>
      <c r="AI32" s="115"/>
      <c r="AJ32" s="17"/>
      <c r="AK32" s="17"/>
      <c r="AL32" s="17"/>
      <c r="AM32" s="17"/>
      <c r="AN32" s="17"/>
      <c r="AO32" s="17"/>
      <c r="AP32" s="17"/>
      <c r="AQ32" s="17"/>
      <c r="AR32" s="17"/>
      <c r="AS32" s="17"/>
    </row>
    <row r="33" ht="18" customHeight="1">
      <c r="A33" t="s" s="153">
        <v>1065</v>
      </c>
      <c r="B33" s="183"/>
      <c r="C33" s="182">
        <v>3</v>
      </c>
      <c r="D33" t="s" s="153">
        <v>1011</v>
      </c>
      <c r="E33" s="183"/>
      <c r="F33" s="182">
        <v>601</v>
      </c>
      <c r="G33" t="s" s="153">
        <v>1077</v>
      </c>
      <c r="H33" t="s" s="153">
        <v>404</v>
      </c>
      <c r="I33" s="182">
        <v>1</v>
      </c>
      <c r="J33" s="183"/>
      <c r="K33" s="183"/>
      <c r="L33" s="183"/>
      <c r="M33" s="183"/>
      <c r="N33" s="183"/>
      <c r="O33" s="185"/>
      <c r="P33" s="185"/>
      <c r="Q33" s="185"/>
      <c r="R33" s="184">
        <v>1</v>
      </c>
      <c r="S33" s="184">
        <v>24</v>
      </c>
      <c r="T33" s="184">
        <v>1887</v>
      </c>
      <c r="U33" s="185"/>
      <c r="V33" s="184">
        <v>1</v>
      </c>
      <c r="W33" s="183"/>
      <c r="X33" s="185"/>
      <c r="Y33" t="s" s="153">
        <v>162</v>
      </c>
      <c r="Z33" s="183"/>
      <c r="AA33" s="182">
        <v>1</v>
      </c>
      <c r="AB33" s="183"/>
      <c r="AC33" s="182">
        <v>1</v>
      </c>
      <c r="AD33" s="183"/>
      <c r="AE33" s="182">
        <v>1</v>
      </c>
      <c r="AF33" t="s" s="154">
        <v>902</v>
      </c>
      <c r="AG33" t="s" s="153">
        <v>1078</v>
      </c>
      <c r="AH33" s="187"/>
      <c r="AI33" s="188"/>
      <c r="AJ33" s="189"/>
      <c r="AK33" s="189"/>
      <c r="AL33" s="189"/>
      <c r="AM33" s="189"/>
      <c r="AN33" s="189"/>
      <c r="AO33" s="189"/>
      <c r="AP33" s="189"/>
      <c r="AQ33" s="189"/>
      <c r="AR33" s="189"/>
      <c r="AS33" s="189"/>
    </row>
    <row r="34" ht="17" customHeight="1">
      <c r="A34" t="s" s="208">
        <v>285</v>
      </c>
      <c r="B34" s="221">
        <v>4</v>
      </c>
      <c r="C34" s="157"/>
      <c r="D34" s="157"/>
      <c r="E34" s="157"/>
      <c r="F34" s="157"/>
      <c r="G34" s="221">
        <v>19</v>
      </c>
      <c r="H34" s="221">
        <v>31</v>
      </c>
      <c r="I34" s="221">
        <f>SUM(I3:I33)</f>
        <v>24</v>
      </c>
      <c r="J34" s="221">
        <f>SUM(J3:J33)</f>
        <v>7</v>
      </c>
      <c r="K34" s="221">
        <f>SUM(K3:K33)</f>
        <v>0</v>
      </c>
      <c r="L34" s="221">
        <f>SUM(L3:L33)</f>
        <v>0</v>
      </c>
      <c r="M34" s="221">
        <f>SUM(M3:M33)</f>
        <v>4</v>
      </c>
      <c r="N34" s="221">
        <f>SUM(N3:N33)</f>
        <v>3</v>
      </c>
      <c r="O34" s="221">
        <f>SUM(O3:O33)</f>
        <v>7</v>
      </c>
      <c r="P34" s="221">
        <f>SUM(P3:P33)</f>
        <v>1</v>
      </c>
      <c r="Q34" s="221">
        <f>SUM(Q3:Q33)</f>
        <v>3</v>
      </c>
      <c r="R34" s="221">
        <f>SUM(R3:R33)</f>
        <v>13</v>
      </c>
      <c r="S34" s="221">
        <f>SUM(S3:S33)</f>
        <v>1225</v>
      </c>
      <c r="T34" s="221">
        <f>SUM(T3:T33)</f>
        <v>57956</v>
      </c>
      <c r="U34" s="221">
        <f>SUM(U3:U33)</f>
        <v>9</v>
      </c>
      <c r="V34" s="221">
        <f>SUM(V3:V33)</f>
        <v>21</v>
      </c>
      <c r="W34" s="221">
        <f>SUM(W3:W33)</f>
        <v>1</v>
      </c>
      <c r="X34" s="221">
        <f>SUM(X3:X33)</f>
        <v>135</v>
      </c>
      <c r="Y34" s="221">
        <f>SUM(Y3:Y33)</f>
        <v>0</v>
      </c>
      <c r="Z34" s="221">
        <f>SUM(Z3:Z33)</f>
        <v>0</v>
      </c>
      <c r="AA34" s="221">
        <f>SUM(AA3:AA33)</f>
        <v>17</v>
      </c>
      <c r="AB34" s="221">
        <f>SUM(AB3:AB33)</f>
        <v>4</v>
      </c>
      <c r="AC34" s="221">
        <f>SUM(AC3:AC33)</f>
        <v>13</v>
      </c>
      <c r="AD34" s="221">
        <f>SUM(AD3:AD33)</f>
        <v>16</v>
      </c>
      <c r="AE34" s="221">
        <f>SUM(AE3:AE33)</f>
        <v>15</v>
      </c>
      <c r="AF34" s="221">
        <f>SUM(AF3:AF33)</f>
        <v>0</v>
      </c>
      <c r="AG34" s="221">
        <f>SUM(AG3:AG33)</f>
        <v>0</v>
      </c>
      <c r="AH34" s="157"/>
      <c r="AI34" s="165"/>
      <c r="AJ34" s="226"/>
      <c r="AK34" s="226"/>
      <c r="AL34" s="226"/>
      <c r="AM34" s="226"/>
      <c r="AN34" s="226"/>
      <c r="AO34" s="226"/>
      <c r="AP34" s="226"/>
      <c r="AQ34" s="226"/>
      <c r="AR34" s="226"/>
      <c r="AS34" s="226"/>
    </row>
    <row r="35" ht="17.5" customHeight="1">
      <c r="A35" s="195"/>
      <c r="B35" s="195"/>
      <c r="C35" s="195"/>
      <c r="D35" s="195"/>
      <c r="E35" s="195"/>
      <c r="F35" s="195"/>
      <c r="G35" s="195"/>
      <c r="H35" s="195"/>
      <c r="I35" s="229">
        <f>I34+J34+K34+L34</f>
        <v>31</v>
      </c>
      <c r="J35" s="195"/>
      <c r="K35" s="195"/>
      <c r="L35" s="227"/>
      <c r="M35" s="194"/>
      <c r="N35" s="195"/>
      <c r="O35" s="195"/>
      <c r="P35" s="195"/>
      <c r="Q35" s="195"/>
      <c r="R35" s="195"/>
      <c r="S35" s="228"/>
      <c r="T35" s="228"/>
      <c r="U35" s="195"/>
      <c r="V35" s="195"/>
      <c r="W35" s="195"/>
      <c r="X35" s="228"/>
      <c r="Y35" s="195"/>
      <c r="Z35" s="195"/>
      <c r="AA35" s="195"/>
      <c r="AB35" s="195"/>
      <c r="AC35" s="195"/>
      <c r="AD35" s="195"/>
      <c r="AE35" s="195"/>
      <c r="AF35" s="195"/>
      <c r="AG35" s="227"/>
      <c r="AH35" s="193"/>
      <c r="AI35" s="194"/>
      <c r="AJ35" s="195"/>
      <c r="AK35" s="195"/>
      <c r="AL35" s="195"/>
      <c r="AM35" s="195"/>
      <c r="AN35" s="195"/>
      <c r="AO35" s="195"/>
      <c r="AP35" s="195"/>
      <c r="AQ35" s="195"/>
      <c r="AR35" s="195"/>
      <c r="AS35" s="195"/>
    </row>
    <row r="36" ht="17" customHeight="1">
      <c r="A36" s="17"/>
      <c r="B36" s="17"/>
      <c r="C36" s="17"/>
      <c r="D36" s="17"/>
      <c r="E36" s="17"/>
      <c r="F36" s="17"/>
      <c r="G36" s="17"/>
      <c r="H36" s="17"/>
      <c r="I36" s="79"/>
      <c r="J36" s="79"/>
      <c r="K36" s="79"/>
      <c r="L36" s="113"/>
      <c r="M36" s="115"/>
      <c r="N36" s="17"/>
      <c r="O36" s="17"/>
      <c r="P36" s="17"/>
      <c r="Q36" s="17"/>
      <c r="R36" s="17"/>
      <c r="S36" s="78"/>
      <c r="T36" s="78"/>
      <c r="U36" s="79"/>
      <c r="V36" s="79"/>
      <c r="W36" s="79"/>
      <c r="X36" s="78"/>
      <c r="Y36" s="17"/>
      <c r="Z36" s="17"/>
      <c r="AA36" s="17"/>
      <c r="AB36" s="17"/>
      <c r="AC36" s="17"/>
      <c r="AD36" s="17"/>
      <c r="AE36" s="17"/>
      <c r="AF36" s="17"/>
      <c r="AG36" s="113"/>
      <c r="AH36" s="181"/>
      <c r="AI36" s="115"/>
      <c r="AJ36" s="17"/>
      <c r="AK36" s="17"/>
      <c r="AL36" s="17"/>
      <c r="AM36" s="17"/>
      <c r="AN36" s="17"/>
      <c r="AO36" s="17"/>
      <c r="AP36" s="17"/>
      <c r="AQ36" s="17"/>
      <c r="AR36" s="17"/>
      <c r="AS36" s="17"/>
    </row>
    <row r="37" ht="17" customHeight="1">
      <c r="A37" s="17"/>
      <c r="B37" s="17"/>
      <c r="C37" s="17"/>
      <c r="D37" s="17"/>
      <c r="E37" s="17"/>
      <c r="F37" s="17"/>
      <c r="G37" s="17"/>
      <c r="H37" s="17"/>
      <c r="I37" s="17"/>
      <c r="J37" s="17"/>
      <c r="K37" s="17"/>
      <c r="L37" s="113"/>
      <c r="M37" s="115"/>
      <c r="N37" s="17"/>
      <c r="O37" s="17"/>
      <c r="P37" s="17"/>
      <c r="Q37" s="17"/>
      <c r="R37" s="17"/>
      <c r="S37" s="17"/>
      <c r="T37" s="17"/>
      <c r="U37" s="15"/>
      <c r="V37" s="15"/>
      <c r="W37" s="116"/>
      <c r="X37" s="17"/>
      <c r="Y37" s="17"/>
      <c r="Z37" s="17"/>
      <c r="AA37" s="17"/>
      <c r="AB37" s="17"/>
      <c r="AC37" s="17"/>
      <c r="AD37" s="17"/>
      <c r="AE37" s="17"/>
      <c r="AF37" s="17"/>
      <c r="AG37" s="113"/>
      <c r="AH37" s="181"/>
      <c r="AI37" s="115"/>
      <c r="AJ37" s="17"/>
      <c r="AK37" s="17"/>
      <c r="AL37" s="17"/>
      <c r="AM37" s="17"/>
      <c r="AN37" s="17"/>
      <c r="AO37" s="17"/>
      <c r="AP37" s="17"/>
      <c r="AQ37" s="17"/>
      <c r="AR37" s="17"/>
      <c r="AS37" s="17"/>
    </row>
    <row r="38" ht="17" customHeight="1">
      <c r="A38" s="17"/>
      <c r="B38" s="17"/>
      <c r="C38" s="17"/>
      <c r="D38" s="17"/>
      <c r="E38" s="17"/>
      <c r="F38" s="17"/>
      <c r="G38" s="17"/>
      <c r="H38" s="17"/>
      <c r="I38" s="17"/>
      <c r="J38" s="17"/>
      <c r="K38" s="17"/>
      <c r="L38" s="113"/>
      <c r="M38" s="115"/>
      <c r="N38" s="17"/>
      <c r="O38" s="17"/>
      <c r="P38" s="17"/>
      <c r="Q38" s="17"/>
      <c r="R38" s="17"/>
      <c r="S38" s="17"/>
      <c r="T38" s="17"/>
      <c r="U38" s="79"/>
      <c r="V38" s="79"/>
      <c r="W38" s="79"/>
      <c r="X38" s="17"/>
      <c r="Y38" s="17"/>
      <c r="Z38" s="17"/>
      <c r="AA38" s="17"/>
      <c r="AB38" s="17"/>
      <c r="AC38" s="17"/>
      <c r="AD38" s="83"/>
      <c r="AE38" s="83"/>
      <c r="AF38" s="83"/>
      <c r="AG38" s="113"/>
      <c r="AH38" s="181"/>
      <c r="AI38" s="115"/>
      <c r="AJ38" s="17"/>
      <c r="AK38" s="17"/>
      <c r="AL38" s="17"/>
      <c r="AM38" s="17"/>
      <c r="AN38" s="17"/>
      <c r="AO38" s="17"/>
      <c r="AP38" s="17"/>
      <c r="AQ38" s="17"/>
      <c r="AR38" s="17"/>
      <c r="AS38" s="17"/>
    </row>
    <row r="39" ht="17" customHeight="1">
      <c r="A39" s="17"/>
      <c r="B39" s="17"/>
      <c r="C39" s="17"/>
      <c r="D39" s="17"/>
      <c r="E39" s="17"/>
      <c r="F39" s="17"/>
      <c r="G39" s="17"/>
      <c r="H39" s="17"/>
      <c r="I39" s="17"/>
      <c r="J39" s="17"/>
      <c r="K39" s="17"/>
      <c r="L39" s="113"/>
      <c r="M39" s="115"/>
      <c r="N39" s="17"/>
      <c r="O39" s="17"/>
      <c r="P39" s="17"/>
      <c r="Q39" s="17"/>
      <c r="R39" s="17"/>
      <c r="S39" s="17"/>
      <c r="T39" s="17"/>
      <c r="U39" s="15"/>
      <c r="V39" s="17"/>
      <c r="W39" s="17"/>
      <c r="X39" s="17"/>
      <c r="Y39" s="17"/>
      <c r="Z39" s="17"/>
      <c r="AA39" s="17"/>
      <c r="AB39" s="17"/>
      <c r="AC39" s="17"/>
      <c r="AD39" s="17"/>
      <c r="AE39" s="17"/>
      <c r="AF39" s="17"/>
      <c r="AG39" s="113"/>
      <c r="AH39" s="181"/>
      <c r="AI39" s="115"/>
      <c r="AJ39" s="17"/>
      <c r="AK39" s="17"/>
      <c r="AL39" s="17"/>
      <c r="AM39" s="17"/>
      <c r="AN39" s="17"/>
      <c r="AO39" s="17"/>
      <c r="AP39" s="17"/>
      <c r="AQ39" s="17"/>
      <c r="AR39" s="17"/>
      <c r="AS39"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AY89"/>
  <sheetViews>
    <sheetView workbookViewId="0" showGridLines="0" defaultGridColor="1"/>
  </sheetViews>
  <sheetFormatPr defaultColWidth="10.8333" defaultRowHeight="16" customHeight="1" outlineLevelRow="0" outlineLevelCol="0"/>
  <cols>
    <col min="1" max="1" width="10.8516" style="239" customWidth="1"/>
    <col min="2" max="2" width="9.85156" style="239" customWidth="1"/>
    <col min="3" max="3" width="5.85156" style="239" customWidth="1"/>
    <col min="4" max="4" width="23.5" style="239" customWidth="1"/>
    <col min="5" max="16" width="10.8516" style="239" customWidth="1"/>
    <col min="17" max="17" width="11.6719" style="239" customWidth="1"/>
    <col min="18" max="23" width="10.8516" style="239" customWidth="1"/>
    <col min="24" max="24" width="19.8516" style="239" customWidth="1"/>
    <col min="25" max="25" width="10.8516" style="239" customWidth="1"/>
    <col min="26" max="26" width="12.8516" style="239" customWidth="1"/>
    <col min="27" max="51" width="10.8516" style="239" customWidth="1"/>
    <col min="52" max="16384" width="10.8516" style="239" customWidth="1"/>
  </cols>
  <sheetData>
    <row r="1" ht="47" customHeight="1">
      <c r="A1" t="s" s="123">
        <v>6</v>
      </c>
      <c r="B1" t="s" s="123">
        <v>7</v>
      </c>
      <c r="C1" t="s" s="7">
        <v>8</v>
      </c>
      <c r="D1" t="s" s="14">
        <v>9</v>
      </c>
      <c r="E1" t="s" s="7">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240">
        <v>119</v>
      </c>
      <c r="B2" t="s" s="241">
        <v>120</v>
      </c>
      <c r="C2" s="242"/>
      <c r="D2" s="90"/>
      <c r="E2" s="243"/>
      <c r="F2" s="90"/>
      <c r="G2" t="s" s="91">
        <v>24</v>
      </c>
      <c r="H2" t="s" s="91">
        <v>25</v>
      </c>
      <c r="I2" t="s" s="91">
        <v>26</v>
      </c>
      <c r="J2" t="s" s="244">
        <v>27</v>
      </c>
      <c r="K2" t="s" s="245">
        <v>28</v>
      </c>
      <c r="L2" t="s" s="246">
        <v>29</v>
      </c>
      <c r="M2" t="s" s="91">
        <v>30</v>
      </c>
      <c r="N2" t="s" s="91">
        <v>31</v>
      </c>
      <c r="O2" t="s" s="91">
        <v>32</v>
      </c>
      <c r="P2" t="s" s="244">
        <v>33</v>
      </c>
      <c r="Q2" t="s" s="247">
        <v>121</v>
      </c>
      <c r="R2" t="s" s="245">
        <v>122</v>
      </c>
      <c r="S2" t="s" s="245">
        <v>123</v>
      </c>
      <c r="T2" t="s" s="248">
        <v>124</v>
      </c>
      <c r="U2" s="90"/>
      <c r="V2" s="90"/>
      <c r="W2" s="90"/>
      <c r="X2" s="90"/>
      <c r="Y2" s="90"/>
      <c r="Z2" s="90"/>
      <c r="AA2" t="s" s="91">
        <v>35</v>
      </c>
      <c r="AB2" t="s" s="91">
        <v>125</v>
      </c>
      <c r="AC2" t="s" s="91">
        <v>37</v>
      </c>
      <c r="AD2" t="s" s="249">
        <v>32</v>
      </c>
      <c r="AE2" s="8"/>
      <c r="AF2" s="8"/>
      <c r="AG2" s="8"/>
      <c r="AH2" s="8"/>
      <c r="AI2" s="8"/>
      <c r="AJ2" s="8"/>
      <c r="AK2" s="8"/>
      <c r="AL2" s="8"/>
      <c r="AM2" s="8"/>
      <c r="AN2" s="8"/>
      <c r="AO2" s="8"/>
      <c r="AP2" s="8"/>
      <c r="AQ2" s="8"/>
      <c r="AR2" s="8"/>
      <c r="AS2" s="8"/>
      <c r="AT2" s="8"/>
      <c r="AU2" s="8"/>
      <c r="AV2" s="8"/>
      <c r="AW2" s="8"/>
      <c r="AX2" s="8"/>
      <c r="AY2" s="8"/>
    </row>
    <row r="3" ht="19" customHeight="1">
      <c r="A3" t="s" s="250">
        <v>1080</v>
      </c>
      <c r="B3" t="s" s="250">
        <v>1081</v>
      </c>
      <c r="C3" s="251"/>
      <c r="D3" t="s" s="250">
        <v>1082</v>
      </c>
      <c r="E3" t="s" s="250">
        <v>1083</v>
      </c>
      <c r="F3" t="s" s="176">
        <v>811</v>
      </c>
      <c r="G3" s="98"/>
      <c r="H3" s="97">
        <v>1</v>
      </c>
      <c r="I3" s="98"/>
      <c r="J3" s="98"/>
      <c r="K3" s="97">
        <v>1</v>
      </c>
      <c r="L3" s="98"/>
      <c r="M3" s="98"/>
      <c r="N3" s="98"/>
      <c r="O3" s="98"/>
      <c r="P3" s="98"/>
      <c r="Q3" s="97">
        <v>47</v>
      </c>
      <c r="R3" s="97">
        <v>1</v>
      </c>
      <c r="S3" s="98"/>
      <c r="T3" s="98"/>
      <c r="U3" s="98"/>
      <c r="V3" s="98"/>
      <c r="W3" s="98"/>
      <c r="X3" t="s" s="176">
        <v>337</v>
      </c>
      <c r="Y3" s="98"/>
      <c r="Z3" s="97">
        <v>1</v>
      </c>
      <c r="AA3" s="97">
        <v>1</v>
      </c>
      <c r="AB3" s="98"/>
      <c r="AC3" s="97">
        <v>1</v>
      </c>
      <c r="AD3" s="98"/>
      <c r="AE3" s="252"/>
      <c r="AF3" s="8"/>
      <c r="AG3" s="8"/>
      <c r="AH3" s="8"/>
      <c r="AI3" s="8"/>
      <c r="AJ3" s="8"/>
      <c r="AK3" s="8"/>
      <c r="AL3" s="8"/>
      <c r="AM3" s="8"/>
      <c r="AN3" s="8"/>
      <c r="AO3" s="8"/>
      <c r="AP3" s="8"/>
      <c r="AQ3" s="8"/>
      <c r="AR3" s="8"/>
      <c r="AS3" s="8"/>
      <c r="AT3" s="8"/>
      <c r="AU3" s="8"/>
      <c r="AV3" s="8"/>
      <c r="AW3" s="8"/>
      <c r="AX3" s="8"/>
      <c r="AY3" s="8"/>
    </row>
    <row r="4" ht="17.45" customHeight="1">
      <c r="A4" t="s" s="250">
        <v>1080</v>
      </c>
      <c r="B4" t="s" s="250">
        <v>1081</v>
      </c>
      <c r="C4" s="251"/>
      <c r="D4" t="s" s="250">
        <v>1082</v>
      </c>
      <c r="E4" t="s" s="250">
        <v>1083</v>
      </c>
      <c r="F4" t="s" s="250">
        <v>1084</v>
      </c>
      <c r="G4" s="253">
        <v>1</v>
      </c>
      <c r="H4" s="251"/>
      <c r="I4" s="251"/>
      <c r="J4" s="251"/>
      <c r="K4" s="251"/>
      <c r="L4" s="253">
        <v>1</v>
      </c>
      <c r="M4" s="254"/>
      <c r="N4" s="254"/>
      <c r="O4" s="254"/>
      <c r="P4" s="254"/>
      <c r="Q4" s="253">
        <v>47</v>
      </c>
      <c r="R4" s="255">
        <v>1</v>
      </c>
      <c r="S4" s="254"/>
      <c r="T4" s="251"/>
      <c r="U4" s="253">
        <v>23</v>
      </c>
      <c r="V4" s="253">
        <v>2</v>
      </c>
      <c r="W4" s="253">
        <v>2</v>
      </c>
      <c r="X4" s="251"/>
      <c r="Y4" s="251"/>
      <c r="Z4" s="251"/>
      <c r="AA4" s="251"/>
      <c r="AB4" s="251"/>
      <c r="AC4" s="251"/>
      <c r="AD4" t="s" s="250">
        <v>429</v>
      </c>
      <c r="AE4" s="252"/>
      <c r="AF4" s="8"/>
      <c r="AG4" s="8"/>
      <c r="AH4" s="8"/>
      <c r="AI4" s="8"/>
      <c r="AJ4" s="8"/>
      <c r="AK4" s="8"/>
      <c r="AL4" s="8"/>
      <c r="AM4" s="8"/>
      <c r="AN4" s="8"/>
      <c r="AO4" s="8"/>
      <c r="AP4" s="8"/>
      <c r="AQ4" s="8"/>
      <c r="AR4" s="8"/>
      <c r="AS4" s="8"/>
      <c r="AT4" s="8"/>
      <c r="AU4" s="8"/>
      <c r="AV4" s="8"/>
      <c r="AW4" s="8"/>
      <c r="AX4" s="8"/>
      <c r="AY4" s="8"/>
    </row>
    <row r="5" ht="17.45" customHeight="1">
      <c r="A5" t="s" s="250">
        <v>1080</v>
      </c>
      <c r="B5" t="s" s="250">
        <v>1081</v>
      </c>
      <c r="C5" s="251"/>
      <c r="D5" t="s" s="250">
        <v>1082</v>
      </c>
      <c r="E5" t="s" s="250">
        <v>1083</v>
      </c>
      <c r="F5" t="s" s="250">
        <v>550</v>
      </c>
      <c r="G5" s="251"/>
      <c r="H5" s="253">
        <v>1</v>
      </c>
      <c r="I5" s="251"/>
      <c r="J5" s="251"/>
      <c r="K5" s="251"/>
      <c r="L5" s="251"/>
      <c r="M5" s="254"/>
      <c r="N5" s="255">
        <v>1</v>
      </c>
      <c r="O5" s="254"/>
      <c r="P5" s="254"/>
      <c r="Q5" s="255">
        <v>21</v>
      </c>
      <c r="R5" s="254"/>
      <c r="S5" s="255">
        <v>1</v>
      </c>
      <c r="T5" s="254"/>
      <c r="U5" s="251"/>
      <c r="V5" s="251"/>
      <c r="W5" s="251"/>
      <c r="X5" t="s" s="250">
        <v>1085</v>
      </c>
      <c r="Y5" s="251"/>
      <c r="Z5" s="253">
        <v>1</v>
      </c>
      <c r="AA5" s="253">
        <v>1</v>
      </c>
      <c r="AB5" s="251"/>
      <c r="AC5" s="253">
        <v>1</v>
      </c>
      <c r="AD5" s="251"/>
      <c r="AE5" s="252"/>
      <c r="AF5" s="8"/>
      <c r="AG5" s="8"/>
      <c r="AH5" s="8"/>
      <c r="AI5" s="8"/>
      <c r="AJ5" s="8"/>
      <c r="AK5" s="8"/>
      <c r="AL5" s="8"/>
      <c r="AM5" s="8"/>
      <c r="AN5" s="8"/>
      <c r="AO5" s="8"/>
      <c r="AP5" s="8"/>
      <c r="AQ5" s="8"/>
      <c r="AR5" s="8"/>
      <c r="AS5" s="8"/>
      <c r="AT5" s="8"/>
      <c r="AU5" s="8"/>
      <c r="AV5" s="8"/>
      <c r="AW5" s="8"/>
      <c r="AX5" s="8"/>
      <c r="AY5" s="8"/>
    </row>
    <row r="6" ht="17.45" customHeight="1">
      <c r="A6" t="s" s="250">
        <v>1080</v>
      </c>
      <c r="B6" t="s" s="250">
        <v>1081</v>
      </c>
      <c r="C6" s="251"/>
      <c r="D6" t="s" s="250">
        <v>1082</v>
      </c>
      <c r="E6" t="s" s="250">
        <v>1083</v>
      </c>
      <c r="F6" t="s" s="250">
        <v>1040</v>
      </c>
      <c r="G6" s="251"/>
      <c r="H6" s="253">
        <v>1</v>
      </c>
      <c r="I6" s="251"/>
      <c r="J6" s="251"/>
      <c r="K6" s="251"/>
      <c r="L6" s="251"/>
      <c r="M6" s="254"/>
      <c r="N6" s="255">
        <v>1</v>
      </c>
      <c r="O6" s="254"/>
      <c r="P6" s="254"/>
      <c r="Q6" s="255">
        <v>18</v>
      </c>
      <c r="R6" s="254"/>
      <c r="S6" s="255">
        <v>1</v>
      </c>
      <c r="T6" s="254"/>
      <c r="U6" s="251"/>
      <c r="V6" s="251"/>
      <c r="W6" s="251"/>
      <c r="X6" t="s" s="250">
        <v>1086</v>
      </c>
      <c r="Y6" s="251"/>
      <c r="Z6" s="253">
        <v>1</v>
      </c>
      <c r="AA6" s="251"/>
      <c r="AB6" s="251"/>
      <c r="AC6" s="253">
        <v>1</v>
      </c>
      <c r="AD6" s="251"/>
      <c r="AE6" s="252"/>
      <c r="AF6" s="8"/>
      <c r="AG6" s="8"/>
      <c r="AH6" s="8"/>
      <c r="AI6" s="8"/>
      <c r="AJ6" s="8"/>
      <c r="AK6" s="8"/>
      <c r="AL6" s="8"/>
      <c r="AM6" s="8"/>
      <c r="AN6" s="8"/>
      <c r="AO6" s="8"/>
      <c r="AP6" s="8"/>
      <c r="AQ6" s="8"/>
      <c r="AR6" s="8"/>
      <c r="AS6" s="8"/>
      <c r="AT6" s="8"/>
      <c r="AU6" s="8"/>
      <c r="AV6" s="8"/>
      <c r="AW6" s="8"/>
      <c r="AX6" s="8"/>
      <c r="AY6" s="8"/>
    </row>
    <row r="7" ht="17.45" customHeight="1">
      <c r="A7" t="s" s="250">
        <v>1080</v>
      </c>
      <c r="B7" t="s" s="250">
        <v>1081</v>
      </c>
      <c r="C7" s="251"/>
      <c r="D7" t="s" s="250">
        <v>1082</v>
      </c>
      <c r="E7" t="s" s="250">
        <v>1087</v>
      </c>
      <c r="F7" t="s" s="250">
        <v>1088</v>
      </c>
      <c r="G7" s="253">
        <v>1</v>
      </c>
      <c r="H7" s="251"/>
      <c r="I7" s="251"/>
      <c r="J7" s="251"/>
      <c r="K7" s="251"/>
      <c r="L7" s="251"/>
      <c r="M7" s="254"/>
      <c r="N7" s="254"/>
      <c r="O7" s="254"/>
      <c r="P7" s="255">
        <v>1</v>
      </c>
      <c r="Q7" s="255">
        <v>22</v>
      </c>
      <c r="R7" s="254"/>
      <c r="S7" s="255">
        <v>1</v>
      </c>
      <c r="T7" s="254"/>
      <c r="U7" s="251"/>
      <c r="V7" s="251"/>
      <c r="W7" s="251"/>
      <c r="X7" t="s" s="250">
        <v>159</v>
      </c>
      <c r="Y7" s="251"/>
      <c r="Z7" s="253">
        <v>1</v>
      </c>
      <c r="AA7" s="251"/>
      <c r="AB7" s="251"/>
      <c r="AC7" s="251"/>
      <c r="AD7" t="s" s="250">
        <v>591</v>
      </c>
      <c r="AE7" s="252"/>
      <c r="AF7" s="8"/>
      <c r="AG7" s="8"/>
      <c r="AH7" s="8"/>
      <c r="AI7" s="8"/>
      <c r="AJ7" s="8"/>
      <c r="AK7" s="8"/>
      <c r="AL7" s="8"/>
      <c r="AM7" s="8"/>
      <c r="AN7" s="8"/>
      <c r="AO7" s="8"/>
      <c r="AP7" s="8"/>
      <c r="AQ7" s="8"/>
      <c r="AR7" s="8"/>
      <c r="AS7" s="8"/>
      <c r="AT7" s="8"/>
      <c r="AU7" s="8"/>
      <c r="AV7" s="8"/>
      <c r="AW7" s="8"/>
      <c r="AX7" s="8"/>
      <c r="AY7" s="8"/>
    </row>
    <row r="8" ht="17.45" customHeight="1">
      <c r="A8" t="s" s="250">
        <v>1080</v>
      </c>
      <c r="B8" t="s" s="250">
        <v>1081</v>
      </c>
      <c r="C8" s="251"/>
      <c r="D8" t="s" s="250">
        <v>1082</v>
      </c>
      <c r="E8" t="s" s="250">
        <v>1089</v>
      </c>
      <c r="F8" t="s" s="250">
        <v>1090</v>
      </c>
      <c r="G8" s="253">
        <v>1</v>
      </c>
      <c r="H8" s="251"/>
      <c r="I8" s="251"/>
      <c r="J8" s="251"/>
      <c r="K8" s="251"/>
      <c r="L8" s="251"/>
      <c r="M8" s="254"/>
      <c r="N8" s="254"/>
      <c r="O8" s="254"/>
      <c r="P8" s="255">
        <v>1</v>
      </c>
      <c r="Q8" s="255">
        <v>24</v>
      </c>
      <c r="R8" s="254"/>
      <c r="S8" s="255">
        <v>1</v>
      </c>
      <c r="T8" s="254"/>
      <c r="U8" s="251"/>
      <c r="V8" s="251"/>
      <c r="W8" s="251"/>
      <c r="X8" t="s" s="250">
        <v>162</v>
      </c>
      <c r="Y8" s="251"/>
      <c r="Z8" s="253">
        <v>1</v>
      </c>
      <c r="AA8" s="251"/>
      <c r="AB8" s="251"/>
      <c r="AC8" s="251"/>
      <c r="AD8" t="s" s="250">
        <v>591</v>
      </c>
      <c r="AE8" s="252"/>
      <c r="AF8" s="8"/>
      <c r="AG8" s="8"/>
      <c r="AH8" s="8"/>
      <c r="AI8" s="8"/>
      <c r="AJ8" s="8"/>
      <c r="AK8" s="8"/>
      <c r="AL8" s="8"/>
      <c r="AM8" s="8"/>
      <c r="AN8" s="8"/>
      <c r="AO8" s="8"/>
      <c r="AP8" s="8"/>
      <c r="AQ8" s="8"/>
      <c r="AR8" s="8"/>
      <c r="AS8" s="8"/>
      <c r="AT8" s="8"/>
      <c r="AU8" s="8"/>
      <c r="AV8" s="8"/>
      <c r="AW8" s="8"/>
      <c r="AX8" s="8"/>
      <c r="AY8" s="8"/>
    </row>
    <row r="9" ht="17.45" customHeight="1">
      <c r="A9" t="s" s="250">
        <v>1091</v>
      </c>
      <c r="B9" t="s" s="250">
        <v>1092</v>
      </c>
      <c r="C9" s="251"/>
      <c r="D9" t="s" s="250">
        <v>1082</v>
      </c>
      <c r="E9" t="s" s="250">
        <v>715</v>
      </c>
      <c r="F9" t="s" s="250">
        <v>811</v>
      </c>
      <c r="G9" s="251"/>
      <c r="H9" s="253">
        <v>1</v>
      </c>
      <c r="I9" s="251"/>
      <c r="J9" s="251"/>
      <c r="K9" s="253">
        <v>1</v>
      </c>
      <c r="L9" s="251"/>
      <c r="M9" s="254"/>
      <c r="N9" s="254"/>
      <c r="O9" s="254"/>
      <c r="P9" s="254"/>
      <c r="Q9" s="255">
        <v>74</v>
      </c>
      <c r="R9" s="254"/>
      <c r="S9" s="255">
        <v>1</v>
      </c>
      <c r="T9" s="251"/>
      <c r="U9" s="251"/>
      <c r="V9" s="251"/>
      <c r="W9" s="251"/>
      <c r="X9" t="s" s="250">
        <v>1093</v>
      </c>
      <c r="Y9" s="251"/>
      <c r="Z9" s="253">
        <v>1</v>
      </c>
      <c r="AA9" s="253">
        <v>1</v>
      </c>
      <c r="AB9" s="251"/>
      <c r="AC9" s="253">
        <v>1</v>
      </c>
      <c r="AD9" s="251"/>
      <c r="AE9" s="252"/>
      <c r="AF9" s="8"/>
      <c r="AG9" s="8"/>
      <c r="AH9" s="8"/>
      <c r="AI9" s="8"/>
      <c r="AJ9" s="8"/>
      <c r="AK9" s="8"/>
      <c r="AL9" s="8"/>
      <c r="AM9" s="8"/>
      <c r="AN9" s="8"/>
      <c r="AO9" s="8"/>
      <c r="AP9" s="8"/>
      <c r="AQ9" s="8"/>
      <c r="AR9" s="8"/>
      <c r="AS9" s="8"/>
      <c r="AT9" s="8"/>
      <c r="AU9" s="8"/>
      <c r="AV9" s="8"/>
      <c r="AW9" s="8"/>
      <c r="AX9" s="8"/>
      <c r="AY9" s="8"/>
    </row>
    <row r="10" ht="17.45" customHeight="1">
      <c r="A10" t="s" s="250">
        <v>1091</v>
      </c>
      <c r="B10" t="s" s="250">
        <v>1092</v>
      </c>
      <c r="C10" s="251"/>
      <c r="D10" t="s" s="250">
        <v>1082</v>
      </c>
      <c r="E10" t="s" s="250">
        <v>1094</v>
      </c>
      <c r="F10" t="s" s="250">
        <v>948</v>
      </c>
      <c r="G10" s="253">
        <v>1</v>
      </c>
      <c r="H10" s="251"/>
      <c r="I10" s="251"/>
      <c r="J10" s="251"/>
      <c r="K10" s="251"/>
      <c r="L10" s="251"/>
      <c r="M10" s="254"/>
      <c r="N10" s="254"/>
      <c r="O10" s="254"/>
      <c r="P10" s="255">
        <v>1</v>
      </c>
      <c r="Q10" s="255">
        <v>68</v>
      </c>
      <c r="R10" s="254"/>
      <c r="S10" s="255">
        <v>1</v>
      </c>
      <c r="T10" s="254"/>
      <c r="U10" s="251"/>
      <c r="V10" s="251"/>
      <c r="W10" s="251"/>
      <c r="X10" t="s" s="250">
        <v>830</v>
      </c>
      <c r="Y10" s="251"/>
      <c r="Z10" s="253">
        <v>1</v>
      </c>
      <c r="AA10" s="251"/>
      <c r="AB10" s="251"/>
      <c r="AC10" s="251"/>
      <c r="AD10" t="s" s="250">
        <v>622</v>
      </c>
      <c r="AE10" s="252"/>
      <c r="AF10" s="8"/>
      <c r="AG10" s="8"/>
      <c r="AH10" s="8"/>
      <c r="AI10" s="8"/>
      <c r="AJ10" s="8"/>
      <c r="AK10" s="8"/>
      <c r="AL10" s="8"/>
      <c r="AM10" s="8"/>
      <c r="AN10" s="8"/>
      <c r="AO10" s="8"/>
      <c r="AP10" s="8"/>
      <c r="AQ10" s="8"/>
      <c r="AR10" s="8"/>
      <c r="AS10" s="8"/>
      <c r="AT10" s="8"/>
      <c r="AU10" s="8"/>
      <c r="AV10" s="8"/>
      <c r="AW10" s="8"/>
      <c r="AX10" s="8"/>
      <c r="AY10" s="8"/>
    </row>
    <row r="11" ht="17.45" customHeight="1">
      <c r="A11" t="s" s="250">
        <v>1091</v>
      </c>
      <c r="B11" t="s" s="250">
        <v>1092</v>
      </c>
      <c r="C11" s="251"/>
      <c r="D11" t="s" s="250">
        <v>1082</v>
      </c>
      <c r="E11" t="s" s="250">
        <v>1095</v>
      </c>
      <c r="F11" t="s" s="250">
        <v>1096</v>
      </c>
      <c r="G11" s="253">
        <v>1</v>
      </c>
      <c r="H11" s="251"/>
      <c r="I11" s="251"/>
      <c r="J11" s="251"/>
      <c r="K11" s="251"/>
      <c r="L11" s="251"/>
      <c r="M11" s="254"/>
      <c r="N11" s="254"/>
      <c r="O11" s="254"/>
      <c r="P11" s="255">
        <v>1</v>
      </c>
      <c r="Q11" s="255">
        <v>33</v>
      </c>
      <c r="R11" s="254"/>
      <c r="S11" s="255">
        <v>1</v>
      </c>
      <c r="T11" s="254"/>
      <c r="U11" s="251"/>
      <c r="V11" s="251"/>
      <c r="W11" s="251"/>
      <c r="X11" t="s" s="250">
        <v>231</v>
      </c>
      <c r="Y11" s="251"/>
      <c r="Z11" s="253">
        <v>1</v>
      </c>
      <c r="AA11" s="251"/>
      <c r="AB11" s="251"/>
      <c r="AC11" s="251"/>
      <c r="AD11" t="s" s="250">
        <v>257</v>
      </c>
      <c r="AE11" s="252"/>
      <c r="AF11" s="8"/>
      <c r="AG11" s="8"/>
      <c r="AH11" s="8"/>
      <c r="AI11" s="8"/>
      <c r="AJ11" s="8"/>
      <c r="AK11" s="8"/>
      <c r="AL11" s="8"/>
      <c r="AM11" s="8"/>
      <c r="AN11" s="8"/>
      <c r="AO11" s="8"/>
      <c r="AP11" s="8"/>
      <c r="AQ11" s="8"/>
      <c r="AR11" s="8"/>
      <c r="AS11" s="8"/>
      <c r="AT11" s="8"/>
      <c r="AU11" s="8"/>
      <c r="AV11" s="8"/>
      <c r="AW11" s="8"/>
      <c r="AX11" s="8"/>
      <c r="AY11" s="8"/>
    </row>
    <row r="12" ht="17.45" customHeight="1">
      <c r="A12" t="s" s="250">
        <v>1091</v>
      </c>
      <c r="B12" t="s" s="250">
        <v>1092</v>
      </c>
      <c r="C12" s="251"/>
      <c r="D12" t="s" s="250">
        <v>1082</v>
      </c>
      <c r="E12" t="s" s="250">
        <v>1097</v>
      </c>
      <c r="F12" t="s" s="250">
        <v>1098</v>
      </c>
      <c r="G12" s="253">
        <v>1</v>
      </c>
      <c r="H12" s="251"/>
      <c r="I12" s="251"/>
      <c r="J12" s="251"/>
      <c r="K12" s="251"/>
      <c r="L12" s="251"/>
      <c r="M12" s="251"/>
      <c r="N12" s="251"/>
      <c r="O12" s="251"/>
      <c r="P12" s="255">
        <v>1</v>
      </c>
      <c r="Q12" s="255">
        <v>27</v>
      </c>
      <c r="R12" s="251"/>
      <c r="S12" s="255">
        <v>1</v>
      </c>
      <c r="T12" s="251"/>
      <c r="U12" s="251"/>
      <c r="V12" s="251"/>
      <c r="W12" s="251"/>
      <c r="X12" t="s" s="250">
        <v>231</v>
      </c>
      <c r="Y12" s="251"/>
      <c r="Z12" s="253">
        <v>1</v>
      </c>
      <c r="AA12" s="251"/>
      <c r="AB12" s="251"/>
      <c r="AC12" s="251"/>
      <c r="AD12" t="s" s="250">
        <v>1099</v>
      </c>
      <c r="AE12" s="252"/>
      <c r="AF12" s="8"/>
      <c r="AG12" s="8"/>
      <c r="AH12" s="8"/>
      <c r="AI12" s="8"/>
      <c r="AJ12" s="8"/>
      <c r="AK12" s="8"/>
      <c r="AL12" s="8"/>
      <c r="AM12" s="8"/>
      <c r="AN12" s="8"/>
      <c r="AO12" s="8"/>
      <c r="AP12" s="8"/>
      <c r="AQ12" s="8"/>
      <c r="AR12" s="8"/>
      <c r="AS12" s="8"/>
      <c r="AT12" s="8"/>
      <c r="AU12" s="8"/>
      <c r="AV12" s="8"/>
      <c r="AW12" s="8"/>
      <c r="AX12" s="8"/>
      <c r="AY12" s="8"/>
    </row>
    <row r="13" ht="17.45" customHeight="1">
      <c r="A13" t="s" s="250">
        <v>1091</v>
      </c>
      <c r="B13" t="s" s="250">
        <v>1092</v>
      </c>
      <c r="C13" s="251"/>
      <c r="D13" t="s" s="250">
        <v>1082</v>
      </c>
      <c r="E13" t="s" s="250">
        <v>88</v>
      </c>
      <c r="F13" t="s" s="250">
        <v>272</v>
      </c>
      <c r="G13" s="253">
        <v>1</v>
      </c>
      <c r="H13" s="251"/>
      <c r="I13" s="251"/>
      <c r="J13" s="251"/>
      <c r="K13" s="251"/>
      <c r="L13" s="251"/>
      <c r="M13" s="251"/>
      <c r="N13" s="251"/>
      <c r="O13" s="251"/>
      <c r="P13" s="255">
        <v>1</v>
      </c>
      <c r="Q13" s="255">
        <v>17</v>
      </c>
      <c r="R13" s="251"/>
      <c r="S13" s="255">
        <v>1</v>
      </c>
      <c r="T13" s="251"/>
      <c r="U13" s="251"/>
      <c r="V13" s="251"/>
      <c r="W13" s="251"/>
      <c r="X13" t="s" s="250">
        <v>231</v>
      </c>
      <c r="Y13" s="251"/>
      <c r="Z13" s="253">
        <v>1</v>
      </c>
      <c r="AA13" s="251"/>
      <c r="AB13" s="251"/>
      <c r="AC13" s="251"/>
      <c r="AD13" t="s" s="250">
        <v>1100</v>
      </c>
      <c r="AE13" s="252"/>
      <c r="AF13" s="8"/>
      <c r="AG13" s="8"/>
      <c r="AH13" s="8"/>
      <c r="AI13" s="8"/>
      <c r="AJ13" s="8"/>
      <c r="AK13" s="8"/>
      <c r="AL13" s="8"/>
      <c r="AM13" s="8"/>
      <c r="AN13" s="8"/>
      <c r="AO13" s="8"/>
      <c r="AP13" s="8"/>
      <c r="AQ13" s="8"/>
      <c r="AR13" s="8"/>
      <c r="AS13" s="8"/>
      <c r="AT13" s="8"/>
      <c r="AU13" s="8"/>
      <c r="AV13" s="8"/>
      <c r="AW13" s="8"/>
      <c r="AX13" s="8"/>
      <c r="AY13" s="8"/>
    </row>
    <row r="14" ht="17.45" customHeight="1">
      <c r="A14" t="s" s="250">
        <v>1101</v>
      </c>
      <c r="B14" t="s" s="250">
        <v>1102</v>
      </c>
      <c r="C14" s="253">
        <v>3</v>
      </c>
      <c r="D14" t="s" s="250">
        <v>1082</v>
      </c>
      <c r="E14" t="s" s="250">
        <v>1103</v>
      </c>
      <c r="F14" t="s" s="250">
        <v>1104</v>
      </c>
      <c r="G14" s="251"/>
      <c r="H14" s="251"/>
      <c r="I14" s="253">
        <v>1</v>
      </c>
      <c r="J14" s="251"/>
      <c r="K14" s="251"/>
      <c r="L14" s="251"/>
      <c r="M14" s="253">
        <v>1</v>
      </c>
      <c r="N14" s="251"/>
      <c r="O14" s="251"/>
      <c r="P14" s="251"/>
      <c r="Q14" s="255">
        <v>11</v>
      </c>
      <c r="R14" s="251"/>
      <c r="S14" s="251"/>
      <c r="T14" s="251"/>
      <c r="U14" s="251"/>
      <c r="V14" s="251"/>
      <c r="W14" s="251"/>
      <c r="X14" t="s" s="250">
        <v>1105</v>
      </c>
      <c r="Y14" s="251"/>
      <c r="Z14" s="251"/>
      <c r="AA14" s="251"/>
      <c r="AB14" s="251"/>
      <c r="AC14" s="253">
        <v>1</v>
      </c>
      <c r="AD14" s="251"/>
      <c r="AE14" t="s" s="256">
        <v>1106</v>
      </c>
      <c r="AF14" s="8"/>
      <c r="AG14" s="8"/>
      <c r="AH14" s="8"/>
      <c r="AI14" s="8"/>
      <c r="AJ14" s="8"/>
      <c r="AK14" s="8"/>
      <c r="AL14" s="8"/>
      <c r="AM14" s="8"/>
      <c r="AN14" s="8"/>
      <c r="AO14" s="8"/>
      <c r="AP14" s="8"/>
      <c r="AQ14" s="8"/>
      <c r="AR14" s="8"/>
      <c r="AS14" s="8"/>
      <c r="AT14" s="8"/>
      <c r="AU14" s="8"/>
      <c r="AV14" s="8"/>
      <c r="AW14" s="8"/>
      <c r="AX14" s="8"/>
      <c r="AY14" s="8"/>
    </row>
    <row r="15" ht="17.45" customHeight="1">
      <c r="A15" t="s" s="250">
        <v>1101</v>
      </c>
      <c r="B15" t="s" s="250">
        <v>1102</v>
      </c>
      <c r="C15" s="253">
        <v>3</v>
      </c>
      <c r="D15" t="s" s="250">
        <v>1082</v>
      </c>
      <c r="E15" t="s" s="250">
        <v>1107</v>
      </c>
      <c r="F15" t="s" s="250">
        <v>1108</v>
      </c>
      <c r="G15" s="253">
        <v>1</v>
      </c>
      <c r="H15" s="251"/>
      <c r="I15" s="251"/>
      <c r="J15" s="251"/>
      <c r="K15" s="251"/>
      <c r="L15" s="251"/>
      <c r="M15" s="251"/>
      <c r="N15" s="251"/>
      <c r="O15" s="251"/>
      <c r="P15" s="255">
        <v>1</v>
      </c>
      <c r="Q15" s="255">
        <v>23</v>
      </c>
      <c r="R15" s="251"/>
      <c r="S15" s="255">
        <v>1</v>
      </c>
      <c r="T15" s="251"/>
      <c r="U15" s="251"/>
      <c r="V15" s="251"/>
      <c r="W15" s="251"/>
      <c r="X15" t="s" s="250">
        <v>197</v>
      </c>
      <c r="Y15" s="251"/>
      <c r="Z15" s="253">
        <v>1</v>
      </c>
      <c r="AA15" s="251"/>
      <c r="AB15" s="251"/>
      <c r="AC15" s="251"/>
      <c r="AD15" t="s" s="250">
        <v>1109</v>
      </c>
      <c r="AE15" s="252"/>
      <c r="AF15" s="8"/>
      <c r="AG15" s="8"/>
      <c r="AH15" s="8"/>
      <c r="AI15" s="8"/>
      <c r="AJ15" s="8"/>
      <c r="AK15" s="8"/>
      <c r="AL15" s="8"/>
      <c r="AM15" s="8"/>
      <c r="AN15" s="8"/>
      <c r="AO15" s="8"/>
      <c r="AP15" s="8"/>
      <c r="AQ15" s="8"/>
      <c r="AR15" s="8"/>
      <c r="AS15" s="8"/>
      <c r="AT15" s="8"/>
      <c r="AU15" s="8"/>
      <c r="AV15" s="8"/>
      <c r="AW15" s="8"/>
      <c r="AX15" s="8"/>
      <c r="AY15" s="8"/>
    </row>
    <row r="16" ht="17.45" customHeight="1">
      <c r="A16" t="s" s="250">
        <v>1101</v>
      </c>
      <c r="B16" t="s" s="250">
        <v>1102</v>
      </c>
      <c r="C16" s="253">
        <v>3</v>
      </c>
      <c r="D16" t="s" s="250">
        <v>1082</v>
      </c>
      <c r="E16" t="s" s="250">
        <v>1110</v>
      </c>
      <c r="F16" t="s" s="250">
        <v>1111</v>
      </c>
      <c r="G16" s="253">
        <v>1</v>
      </c>
      <c r="H16" s="251"/>
      <c r="I16" s="251"/>
      <c r="J16" s="251"/>
      <c r="K16" s="251"/>
      <c r="L16" s="251"/>
      <c r="M16" s="251"/>
      <c r="N16" s="251"/>
      <c r="O16" s="251"/>
      <c r="P16" s="255">
        <v>1</v>
      </c>
      <c r="Q16" s="255">
        <v>35</v>
      </c>
      <c r="R16" s="251"/>
      <c r="S16" s="255">
        <v>1</v>
      </c>
      <c r="T16" s="251"/>
      <c r="U16" s="251"/>
      <c r="V16" s="251"/>
      <c r="W16" s="251"/>
      <c r="X16" t="s" s="250">
        <v>159</v>
      </c>
      <c r="Y16" s="251"/>
      <c r="Z16" s="253">
        <v>1</v>
      </c>
      <c r="AA16" s="251"/>
      <c r="AB16" s="251"/>
      <c r="AC16" s="251"/>
      <c r="AD16" t="s" s="250">
        <v>187</v>
      </c>
      <c r="AE16" s="252"/>
      <c r="AF16" s="8"/>
      <c r="AG16" s="8"/>
      <c r="AH16" s="8"/>
      <c r="AI16" s="8"/>
      <c r="AJ16" s="8"/>
      <c r="AK16" s="8"/>
      <c r="AL16" s="8"/>
      <c r="AM16" s="8"/>
      <c r="AN16" s="8"/>
      <c r="AO16" s="8"/>
      <c r="AP16" s="8"/>
      <c r="AQ16" s="8"/>
      <c r="AR16" s="8"/>
      <c r="AS16" s="8"/>
      <c r="AT16" s="8"/>
      <c r="AU16" s="8"/>
      <c r="AV16" s="8"/>
      <c r="AW16" s="8"/>
      <c r="AX16" s="8"/>
      <c r="AY16" s="8"/>
    </row>
    <row r="17" ht="17.45" customHeight="1">
      <c r="A17" t="s" s="250">
        <v>1101</v>
      </c>
      <c r="B17" t="s" s="250">
        <v>1102</v>
      </c>
      <c r="C17" s="253">
        <v>3</v>
      </c>
      <c r="D17" t="s" s="250">
        <v>1082</v>
      </c>
      <c r="E17" t="s" s="250">
        <v>1112</v>
      </c>
      <c r="F17" t="s" s="250">
        <v>570</v>
      </c>
      <c r="G17" s="253">
        <v>1</v>
      </c>
      <c r="H17" s="251"/>
      <c r="I17" s="251"/>
      <c r="J17" s="251"/>
      <c r="K17" s="251"/>
      <c r="L17" s="251"/>
      <c r="M17" s="251"/>
      <c r="N17" s="251"/>
      <c r="O17" s="251"/>
      <c r="P17" s="255">
        <v>1</v>
      </c>
      <c r="Q17" s="255">
        <v>21</v>
      </c>
      <c r="R17" s="251"/>
      <c r="S17" s="255">
        <v>1</v>
      </c>
      <c r="T17" s="251"/>
      <c r="U17" s="251"/>
      <c r="V17" s="251"/>
      <c r="W17" s="251"/>
      <c r="X17" t="s" s="250">
        <v>162</v>
      </c>
      <c r="Y17" s="251"/>
      <c r="Z17" s="253">
        <v>1</v>
      </c>
      <c r="AA17" s="251"/>
      <c r="AB17" s="251"/>
      <c r="AC17" s="253">
        <v>1</v>
      </c>
      <c r="AD17" s="251"/>
      <c r="AE17" s="252"/>
      <c r="AF17" s="8"/>
      <c r="AG17" s="8"/>
      <c r="AH17" s="8"/>
      <c r="AI17" s="8"/>
      <c r="AJ17" s="8"/>
      <c r="AK17" s="8"/>
      <c r="AL17" s="8"/>
      <c r="AM17" s="8"/>
      <c r="AN17" s="8"/>
      <c r="AO17" s="8"/>
      <c r="AP17" s="8"/>
      <c r="AQ17" s="8"/>
      <c r="AR17" s="8"/>
      <c r="AS17" s="8"/>
      <c r="AT17" s="8"/>
      <c r="AU17" s="8"/>
      <c r="AV17" s="8"/>
      <c r="AW17" s="8"/>
      <c r="AX17" s="8"/>
      <c r="AY17" s="8"/>
    </row>
    <row r="18" ht="17.45" customHeight="1">
      <c r="A18" t="s" s="250">
        <v>1101</v>
      </c>
      <c r="B18" t="s" s="250">
        <v>1102</v>
      </c>
      <c r="C18" s="253">
        <v>3</v>
      </c>
      <c r="D18" t="s" s="250">
        <v>1082</v>
      </c>
      <c r="E18" t="s" s="250">
        <v>1113</v>
      </c>
      <c r="F18" t="s" s="250">
        <v>1114</v>
      </c>
      <c r="G18" s="251"/>
      <c r="H18" s="253">
        <v>1</v>
      </c>
      <c r="I18" s="251"/>
      <c r="J18" s="251"/>
      <c r="K18" s="251"/>
      <c r="L18" s="251"/>
      <c r="M18" s="251"/>
      <c r="N18" s="251"/>
      <c r="O18" s="251"/>
      <c r="P18" s="255">
        <v>1</v>
      </c>
      <c r="Q18" s="255">
        <v>35</v>
      </c>
      <c r="R18" s="251"/>
      <c r="S18" s="255">
        <v>1</v>
      </c>
      <c r="T18" s="251"/>
      <c r="U18" s="251"/>
      <c r="V18" s="251"/>
      <c r="W18" s="251"/>
      <c r="X18" t="s" s="250">
        <v>1115</v>
      </c>
      <c r="Y18" s="251"/>
      <c r="Z18" s="253">
        <v>1</v>
      </c>
      <c r="AA18" s="251"/>
      <c r="AB18" s="251"/>
      <c r="AC18" s="251"/>
      <c r="AD18" t="s" s="250">
        <v>622</v>
      </c>
      <c r="AE18" s="252"/>
      <c r="AF18" s="8"/>
      <c r="AG18" s="8"/>
      <c r="AH18" s="8"/>
      <c r="AI18" s="8"/>
      <c r="AJ18" s="8"/>
      <c r="AK18" s="8"/>
      <c r="AL18" s="8"/>
      <c r="AM18" s="8"/>
      <c r="AN18" s="8"/>
      <c r="AO18" s="8"/>
      <c r="AP18" s="8"/>
      <c r="AQ18" s="8"/>
      <c r="AR18" s="8"/>
      <c r="AS18" s="8"/>
      <c r="AT18" s="8"/>
      <c r="AU18" s="8"/>
      <c r="AV18" s="8"/>
      <c r="AW18" s="8"/>
      <c r="AX18" s="8"/>
      <c r="AY18" s="8"/>
    </row>
    <row r="19" ht="17.45" customHeight="1">
      <c r="A19" t="s" s="250">
        <v>1116</v>
      </c>
      <c r="B19" t="s" s="250">
        <v>1117</v>
      </c>
      <c r="C19" s="253">
        <v>5</v>
      </c>
      <c r="D19" t="s" s="250">
        <v>1082</v>
      </c>
      <c r="E19" t="s" s="250">
        <v>425</v>
      </c>
      <c r="F19" t="s" s="250">
        <v>1118</v>
      </c>
      <c r="G19" s="251"/>
      <c r="H19" s="253">
        <v>1</v>
      </c>
      <c r="I19" s="251"/>
      <c r="J19" s="251"/>
      <c r="K19" s="253">
        <v>1</v>
      </c>
      <c r="L19" s="251"/>
      <c r="M19" s="251"/>
      <c r="N19" s="251"/>
      <c r="O19" s="251"/>
      <c r="P19" s="251"/>
      <c r="Q19" s="255">
        <v>41</v>
      </c>
      <c r="R19" s="253">
        <v>1</v>
      </c>
      <c r="S19" s="251"/>
      <c r="T19" s="251"/>
      <c r="U19" s="251"/>
      <c r="V19" s="251"/>
      <c r="W19" s="251"/>
      <c r="X19" t="s" s="250">
        <v>1119</v>
      </c>
      <c r="Y19" s="251"/>
      <c r="Z19" s="253">
        <v>1</v>
      </c>
      <c r="AA19" s="253">
        <v>1</v>
      </c>
      <c r="AB19" s="251"/>
      <c r="AC19" s="253">
        <v>1</v>
      </c>
      <c r="AD19" s="251"/>
      <c r="AE19" s="252"/>
      <c r="AF19" s="8"/>
      <c r="AG19" s="8"/>
      <c r="AH19" s="8"/>
      <c r="AI19" s="8"/>
      <c r="AJ19" s="8"/>
      <c r="AK19" s="8"/>
      <c r="AL19" s="8"/>
      <c r="AM19" s="8"/>
      <c r="AN19" s="8"/>
      <c r="AO19" s="8"/>
      <c r="AP19" s="8"/>
      <c r="AQ19" s="8"/>
      <c r="AR19" s="8"/>
      <c r="AS19" s="8"/>
      <c r="AT19" s="8"/>
      <c r="AU19" s="8"/>
      <c r="AV19" s="8"/>
      <c r="AW19" s="8"/>
      <c r="AX19" s="8"/>
      <c r="AY19" s="8"/>
    </row>
    <row r="20" ht="17.45" customHeight="1">
      <c r="A20" t="s" s="250">
        <v>1116</v>
      </c>
      <c r="B20" t="s" s="250">
        <v>1117</v>
      </c>
      <c r="C20" s="253">
        <v>5</v>
      </c>
      <c r="D20" t="s" s="250">
        <v>1082</v>
      </c>
      <c r="E20" t="s" s="250">
        <v>425</v>
      </c>
      <c r="F20" t="s" s="250">
        <v>1120</v>
      </c>
      <c r="G20" s="253">
        <v>1</v>
      </c>
      <c r="H20" s="251"/>
      <c r="I20" s="251"/>
      <c r="J20" s="251"/>
      <c r="K20" s="251"/>
      <c r="L20" s="253">
        <v>1</v>
      </c>
      <c r="M20" s="251"/>
      <c r="N20" s="251"/>
      <c r="O20" s="251"/>
      <c r="P20" s="251"/>
      <c r="Q20" s="255">
        <v>34</v>
      </c>
      <c r="R20" s="253">
        <v>1</v>
      </c>
      <c r="S20" s="251"/>
      <c r="T20" s="251"/>
      <c r="U20" s="253">
        <v>10</v>
      </c>
      <c r="V20" s="253">
        <v>4</v>
      </c>
      <c r="W20" s="253">
        <v>4</v>
      </c>
      <c r="X20" s="251"/>
      <c r="Y20" s="251"/>
      <c r="Z20" s="251"/>
      <c r="AA20" s="251"/>
      <c r="AB20" s="251"/>
      <c r="AC20" s="253">
        <v>1</v>
      </c>
      <c r="AD20" s="251"/>
      <c r="AE20" t="s" s="256">
        <v>1121</v>
      </c>
      <c r="AF20" s="8"/>
      <c r="AG20" s="8"/>
      <c r="AH20" s="8"/>
      <c r="AI20" s="8"/>
      <c r="AJ20" s="8"/>
      <c r="AK20" s="8"/>
      <c r="AL20" s="8"/>
      <c r="AM20" s="8"/>
      <c r="AN20" s="8"/>
      <c r="AO20" s="8"/>
      <c r="AP20" s="8"/>
      <c r="AQ20" s="8"/>
      <c r="AR20" s="8"/>
      <c r="AS20" s="8"/>
      <c r="AT20" s="8"/>
      <c r="AU20" s="8"/>
      <c r="AV20" s="8"/>
      <c r="AW20" s="8"/>
      <c r="AX20" s="8"/>
      <c r="AY20" s="8"/>
    </row>
    <row r="21" ht="17.45" customHeight="1">
      <c r="A21" t="s" s="250">
        <v>1116</v>
      </c>
      <c r="B21" t="s" s="250">
        <v>1117</v>
      </c>
      <c r="C21" s="253">
        <v>5</v>
      </c>
      <c r="D21" t="s" s="250">
        <v>1082</v>
      </c>
      <c r="E21" t="s" s="250">
        <v>425</v>
      </c>
      <c r="F21" t="s" s="250">
        <v>1122</v>
      </c>
      <c r="G21" s="251"/>
      <c r="H21" s="251"/>
      <c r="I21" s="253">
        <v>1</v>
      </c>
      <c r="J21" s="251"/>
      <c r="K21" s="251"/>
      <c r="L21" s="251"/>
      <c r="M21" s="253">
        <v>1</v>
      </c>
      <c r="N21" s="251"/>
      <c r="O21" s="251"/>
      <c r="P21" s="251"/>
      <c r="Q21" s="255">
        <v>8</v>
      </c>
      <c r="R21" s="251"/>
      <c r="S21" s="251"/>
      <c r="T21" s="251"/>
      <c r="U21" s="251"/>
      <c r="V21" s="251"/>
      <c r="W21" s="251"/>
      <c r="X21" s="251"/>
      <c r="Y21" s="251"/>
      <c r="Z21" s="251"/>
      <c r="AA21" s="251"/>
      <c r="AB21" s="251"/>
      <c r="AC21" s="253">
        <v>1</v>
      </c>
      <c r="AD21" s="251"/>
      <c r="AE21" t="s" s="256">
        <v>1121</v>
      </c>
      <c r="AF21" s="8"/>
      <c r="AG21" s="8"/>
      <c r="AH21" s="8"/>
      <c r="AI21" s="8"/>
      <c r="AJ21" s="8"/>
      <c r="AK21" s="8"/>
      <c r="AL21" s="8"/>
      <c r="AM21" s="8"/>
      <c r="AN21" s="8"/>
      <c r="AO21" s="8"/>
      <c r="AP21" s="8"/>
      <c r="AQ21" s="8"/>
      <c r="AR21" s="8"/>
      <c r="AS21" s="8"/>
      <c r="AT21" s="8"/>
      <c r="AU21" s="8"/>
      <c r="AV21" s="8"/>
      <c r="AW21" s="8"/>
      <c r="AX21" s="8"/>
      <c r="AY21" s="8"/>
    </row>
    <row r="22" ht="17.45" customHeight="1">
      <c r="A22" t="s" s="250">
        <v>1116</v>
      </c>
      <c r="B22" t="s" s="250">
        <v>1117</v>
      </c>
      <c r="C22" s="253">
        <v>5</v>
      </c>
      <c r="D22" t="s" s="250">
        <v>1082</v>
      </c>
      <c r="E22" t="s" s="250">
        <v>425</v>
      </c>
      <c r="F22" t="s" s="250">
        <v>1123</v>
      </c>
      <c r="G22" s="251"/>
      <c r="H22" s="251"/>
      <c r="I22" s="253">
        <v>1</v>
      </c>
      <c r="J22" s="251"/>
      <c r="K22" s="251"/>
      <c r="L22" s="251"/>
      <c r="M22" s="253">
        <v>1</v>
      </c>
      <c r="N22" s="251"/>
      <c r="O22" s="251"/>
      <c r="P22" s="251"/>
      <c r="Q22" s="255">
        <v>5</v>
      </c>
      <c r="R22" s="251"/>
      <c r="S22" s="251"/>
      <c r="T22" s="251"/>
      <c r="U22" s="251"/>
      <c r="V22" s="251"/>
      <c r="W22" s="251"/>
      <c r="X22" s="251"/>
      <c r="Y22" s="251"/>
      <c r="Z22" s="251"/>
      <c r="AA22" s="251"/>
      <c r="AB22" s="253">
        <v>1</v>
      </c>
      <c r="AC22" s="253">
        <v>1</v>
      </c>
      <c r="AD22" s="251"/>
      <c r="AE22" t="s" s="256">
        <v>1121</v>
      </c>
      <c r="AF22" s="8"/>
      <c r="AG22" s="8"/>
      <c r="AH22" s="8"/>
      <c r="AI22" s="8"/>
      <c r="AJ22" s="8"/>
      <c r="AK22" s="8"/>
      <c r="AL22" s="8"/>
      <c r="AM22" s="8"/>
      <c r="AN22" s="8"/>
      <c r="AO22" s="8"/>
      <c r="AP22" s="8"/>
      <c r="AQ22" s="8"/>
      <c r="AR22" s="8"/>
      <c r="AS22" s="8"/>
      <c r="AT22" s="8"/>
      <c r="AU22" s="8"/>
      <c r="AV22" s="8"/>
      <c r="AW22" s="8"/>
      <c r="AX22" s="8"/>
      <c r="AY22" s="8"/>
    </row>
    <row r="23" ht="17.45" customHeight="1">
      <c r="A23" t="s" s="250">
        <v>1116</v>
      </c>
      <c r="B23" t="s" s="250">
        <v>1117</v>
      </c>
      <c r="C23" s="253">
        <v>5</v>
      </c>
      <c r="D23" t="s" s="250">
        <v>1082</v>
      </c>
      <c r="E23" t="s" s="250">
        <v>425</v>
      </c>
      <c r="F23" t="s" s="250">
        <v>1124</v>
      </c>
      <c r="G23" s="251"/>
      <c r="H23" s="251"/>
      <c r="I23" s="253">
        <v>1</v>
      </c>
      <c r="J23" s="251"/>
      <c r="K23" s="251"/>
      <c r="L23" s="251"/>
      <c r="M23" s="253">
        <v>1</v>
      </c>
      <c r="N23" s="251"/>
      <c r="O23" s="251"/>
      <c r="P23" s="251"/>
      <c r="Q23" s="255">
        <v>4</v>
      </c>
      <c r="R23" s="251"/>
      <c r="S23" s="251"/>
      <c r="T23" s="251"/>
      <c r="U23" s="251"/>
      <c r="V23" s="251"/>
      <c r="W23" s="251"/>
      <c r="X23" s="251"/>
      <c r="Y23" s="251"/>
      <c r="Z23" s="251"/>
      <c r="AA23" s="251"/>
      <c r="AB23" s="251"/>
      <c r="AC23" s="253">
        <v>1</v>
      </c>
      <c r="AD23" s="251"/>
      <c r="AE23" t="s" s="256">
        <v>1121</v>
      </c>
      <c r="AF23" s="8"/>
      <c r="AG23" s="8"/>
      <c r="AH23" s="8"/>
      <c r="AI23" s="8"/>
      <c r="AJ23" s="8"/>
      <c r="AK23" s="8"/>
      <c r="AL23" s="8"/>
      <c r="AM23" s="8"/>
      <c r="AN23" s="8"/>
      <c r="AO23" s="8"/>
      <c r="AP23" s="8"/>
      <c r="AQ23" s="8"/>
      <c r="AR23" s="8"/>
      <c r="AS23" s="8"/>
      <c r="AT23" s="8"/>
      <c r="AU23" s="8"/>
      <c r="AV23" s="8"/>
      <c r="AW23" s="8"/>
      <c r="AX23" s="8"/>
      <c r="AY23" s="8"/>
    </row>
    <row r="24" ht="17.45" customHeight="1">
      <c r="A24" t="s" s="250">
        <v>1116</v>
      </c>
      <c r="B24" t="s" s="250">
        <v>1117</v>
      </c>
      <c r="C24" s="253">
        <v>5</v>
      </c>
      <c r="D24" t="s" s="250">
        <v>1082</v>
      </c>
      <c r="E24" t="s" s="250">
        <v>425</v>
      </c>
      <c r="F24" t="s" s="250">
        <v>1125</v>
      </c>
      <c r="G24" s="251"/>
      <c r="H24" s="251"/>
      <c r="I24" s="251"/>
      <c r="J24" s="253">
        <v>1</v>
      </c>
      <c r="K24" s="251"/>
      <c r="L24" s="251"/>
      <c r="M24" s="251"/>
      <c r="N24" s="253">
        <v>1</v>
      </c>
      <c r="O24" s="251"/>
      <c r="P24" s="251"/>
      <c r="Q24" s="255">
        <v>1</v>
      </c>
      <c r="R24" s="251"/>
      <c r="S24" s="251"/>
      <c r="T24" s="251"/>
      <c r="U24" s="251"/>
      <c r="V24" s="251"/>
      <c r="W24" s="251"/>
      <c r="X24" s="251"/>
      <c r="Y24" s="251"/>
      <c r="Z24" s="251"/>
      <c r="AA24" s="251"/>
      <c r="AB24" s="251"/>
      <c r="AC24" s="253">
        <v>1</v>
      </c>
      <c r="AD24" s="251"/>
      <c r="AE24" t="s" s="256">
        <v>1121</v>
      </c>
      <c r="AF24" s="8"/>
      <c r="AG24" s="8"/>
      <c r="AH24" s="8"/>
      <c r="AI24" s="8"/>
      <c r="AJ24" s="8"/>
      <c r="AK24" s="8"/>
      <c r="AL24" s="8"/>
      <c r="AM24" s="8"/>
      <c r="AN24" s="8"/>
      <c r="AO24" s="8"/>
      <c r="AP24" s="8"/>
      <c r="AQ24" s="8"/>
      <c r="AR24" s="8"/>
      <c r="AS24" s="8"/>
      <c r="AT24" s="8"/>
      <c r="AU24" s="8"/>
      <c r="AV24" s="8"/>
      <c r="AW24" s="8"/>
      <c r="AX24" s="8"/>
      <c r="AY24" s="8"/>
    </row>
    <row r="25" ht="17.45" customHeight="1">
      <c r="A25" t="s" s="250">
        <v>1116</v>
      </c>
      <c r="B25" t="s" s="250">
        <v>1117</v>
      </c>
      <c r="C25" s="253">
        <v>5</v>
      </c>
      <c r="D25" t="s" s="250">
        <v>1082</v>
      </c>
      <c r="E25" t="s" s="250">
        <v>797</v>
      </c>
      <c r="F25" t="s" s="250">
        <v>281</v>
      </c>
      <c r="G25" s="253">
        <v>1</v>
      </c>
      <c r="H25" s="251"/>
      <c r="I25" s="251"/>
      <c r="J25" s="251"/>
      <c r="K25" s="251"/>
      <c r="L25" s="251"/>
      <c r="M25" s="251"/>
      <c r="N25" s="251"/>
      <c r="O25" s="251"/>
      <c r="P25" s="253">
        <v>1</v>
      </c>
      <c r="Q25" s="255">
        <v>39</v>
      </c>
      <c r="R25" s="251"/>
      <c r="S25" s="251"/>
      <c r="T25" s="253">
        <v>1</v>
      </c>
      <c r="U25" s="251"/>
      <c r="V25" s="251"/>
      <c r="W25" s="251"/>
      <c r="X25" t="s" s="250">
        <v>159</v>
      </c>
      <c r="Y25" s="251"/>
      <c r="Z25" s="253">
        <v>1</v>
      </c>
      <c r="AA25" s="251"/>
      <c r="AB25" s="251"/>
      <c r="AC25" s="253">
        <v>1</v>
      </c>
      <c r="AD25" s="251"/>
      <c r="AE25" s="252"/>
      <c r="AF25" s="8"/>
      <c r="AG25" s="8"/>
      <c r="AH25" s="8"/>
      <c r="AI25" s="8"/>
      <c r="AJ25" s="8"/>
      <c r="AK25" s="8"/>
      <c r="AL25" s="8"/>
      <c r="AM25" s="8"/>
      <c r="AN25" s="8"/>
      <c r="AO25" s="8"/>
      <c r="AP25" s="8"/>
      <c r="AQ25" s="8"/>
      <c r="AR25" s="8"/>
      <c r="AS25" s="8"/>
      <c r="AT25" s="8"/>
      <c r="AU25" s="8"/>
      <c r="AV25" s="8"/>
      <c r="AW25" s="8"/>
      <c r="AX25" s="8"/>
      <c r="AY25" s="8"/>
    </row>
    <row r="26" ht="17.45" customHeight="1">
      <c r="A26" t="s" s="250">
        <v>1116</v>
      </c>
      <c r="B26" t="s" s="250">
        <v>1117</v>
      </c>
      <c r="C26" s="253">
        <v>5</v>
      </c>
      <c r="D26" t="s" s="250">
        <v>1082</v>
      </c>
      <c r="E26" t="s" s="250">
        <v>1126</v>
      </c>
      <c r="F26" t="s" s="250">
        <v>1127</v>
      </c>
      <c r="G26" s="253">
        <v>1</v>
      </c>
      <c r="H26" s="251"/>
      <c r="I26" s="251"/>
      <c r="J26" s="251"/>
      <c r="K26" s="251"/>
      <c r="L26" s="251"/>
      <c r="M26" s="251"/>
      <c r="N26" s="251"/>
      <c r="O26" s="251"/>
      <c r="P26" s="253">
        <v>1</v>
      </c>
      <c r="Q26" s="255">
        <v>42</v>
      </c>
      <c r="R26" s="251"/>
      <c r="S26" s="253">
        <v>1</v>
      </c>
      <c r="T26" s="251"/>
      <c r="U26" s="251"/>
      <c r="V26" s="251"/>
      <c r="W26" s="251"/>
      <c r="X26" t="s" s="250">
        <v>576</v>
      </c>
      <c r="Y26" s="251"/>
      <c r="Z26" s="253">
        <v>1</v>
      </c>
      <c r="AA26" s="251"/>
      <c r="AB26" s="251"/>
      <c r="AC26" s="251"/>
      <c r="AD26" t="s" s="250">
        <v>1128</v>
      </c>
      <c r="AE26" s="252"/>
      <c r="AF26" s="8"/>
      <c r="AG26" s="8"/>
      <c r="AH26" s="8"/>
      <c r="AI26" s="8"/>
      <c r="AJ26" s="8"/>
      <c r="AK26" s="8"/>
      <c r="AL26" s="8"/>
      <c r="AM26" s="8"/>
      <c r="AN26" s="8"/>
      <c r="AO26" s="8"/>
      <c r="AP26" s="8"/>
      <c r="AQ26" s="8"/>
      <c r="AR26" s="8"/>
      <c r="AS26" s="8"/>
      <c r="AT26" s="8"/>
      <c r="AU26" s="8"/>
      <c r="AV26" s="8"/>
      <c r="AW26" s="8"/>
      <c r="AX26" s="8"/>
      <c r="AY26" s="8"/>
    </row>
    <row r="27" ht="17.45" customHeight="1">
      <c r="A27" t="s" s="250">
        <v>1116</v>
      </c>
      <c r="B27" t="s" s="250">
        <v>1117</v>
      </c>
      <c r="C27" s="253">
        <v>5</v>
      </c>
      <c r="D27" t="s" s="250">
        <v>1082</v>
      </c>
      <c r="E27" t="s" s="250">
        <v>1129</v>
      </c>
      <c r="F27" t="s" s="250">
        <v>645</v>
      </c>
      <c r="G27" s="253">
        <v>1</v>
      </c>
      <c r="H27" s="251"/>
      <c r="I27" s="251"/>
      <c r="J27" s="251"/>
      <c r="K27" s="251"/>
      <c r="L27" s="251"/>
      <c r="M27" s="251"/>
      <c r="N27" s="251"/>
      <c r="O27" s="251"/>
      <c r="P27" s="253">
        <v>1</v>
      </c>
      <c r="Q27" s="255">
        <v>32</v>
      </c>
      <c r="R27" s="251"/>
      <c r="S27" s="253">
        <v>1</v>
      </c>
      <c r="T27" s="251"/>
      <c r="U27" s="251"/>
      <c r="V27" s="251"/>
      <c r="W27" s="251"/>
      <c r="X27" t="s" s="250">
        <v>165</v>
      </c>
      <c r="Y27" s="251"/>
      <c r="Z27" s="253">
        <v>1</v>
      </c>
      <c r="AA27" s="251"/>
      <c r="AB27" s="251"/>
      <c r="AC27" s="251"/>
      <c r="AD27" t="s" s="250">
        <v>400</v>
      </c>
      <c r="AE27" s="252"/>
      <c r="AF27" s="8"/>
      <c r="AG27" s="8"/>
      <c r="AH27" s="8"/>
      <c r="AI27" s="8"/>
      <c r="AJ27" s="8"/>
      <c r="AK27" s="8"/>
      <c r="AL27" s="8"/>
      <c r="AM27" s="8"/>
      <c r="AN27" s="8"/>
      <c r="AO27" s="8"/>
      <c r="AP27" s="8"/>
      <c r="AQ27" s="8"/>
      <c r="AR27" s="8"/>
      <c r="AS27" s="8"/>
      <c r="AT27" s="8"/>
      <c r="AU27" s="8"/>
      <c r="AV27" s="8"/>
      <c r="AW27" s="8"/>
      <c r="AX27" s="8"/>
      <c r="AY27" s="8"/>
    </row>
    <row r="28" ht="17.45" customHeight="1">
      <c r="A28" t="s" s="250">
        <v>1116</v>
      </c>
      <c r="B28" t="s" s="250">
        <v>1117</v>
      </c>
      <c r="C28" s="253">
        <v>5</v>
      </c>
      <c r="D28" t="s" s="250">
        <v>1082</v>
      </c>
      <c r="E28" t="s" s="250">
        <v>1130</v>
      </c>
      <c r="F28" t="s" s="250">
        <v>1131</v>
      </c>
      <c r="G28" s="253">
        <v>1</v>
      </c>
      <c r="H28" s="251"/>
      <c r="I28" s="251"/>
      <c r="J28" s="251"/>
      <c r="K28" s="251"/>
      <c r="L28" s="251"/>
      <c r="M28" s="251"/>
      <c r="N28" s="251"/>
      <c r="O28" s="251"/>
      <c r="P28" s="253">
        <v>1</v>
      </c>
      <c r="Q28" s="255">
        <v>19</v>
      </c>
      <c r="R28" s="251"/>
      <c r="S28" s="253">
        <v>1</v>
      </c>
      <c r="T28" s="251"/>
      <c r="U28" s="251"/>
      <c r="V28" s="251"/>
      <c r="W28" s="251"/>
      <c r="X28" t="s" s="250">
        <v>162</v>
      </c>
      <c r="Y28" s="251"/>
      <c r="Z28" s="253">
        <v>1</v>
      </c>
      <c r="AA28" s="251"/>
      <c r="AB28" s="251"/>
      <c r="AC28" s="253">
        <v>1</v>
      </c>
      <c r="AD28" s="251"/>
      <c r="AE28" s="252"/>
      <c r="AF28" s="8"/>
      <c r="AG28" s="8"/>
      <c r="AH28" s="8"/>
      <c r="AI28" s="8"/>
      <c r="AJ28" s="8"/>
      <c r="AK28" s="8"/>
      <c r="AL28" s="8"/>
      <c r="AM28" s="8"/>
      <c r="AN28" s="8"/>
      <c r="AO28" s="8"/>
      <c r="AP28" s="8"/>
      <c r="AQ28" s="8"/>
      <c r="AR28" s="8"/>
      <c r="AS28" s="8"/>
      <c r="AT28" s="8"/>
      <c r="AU28" s="8"/>
      <c r="AV28" s="8"/>
      <c r="AW28" s="8"/>
      <c r="AX28" s="8"/>
      <c r="AY28" s="8"/>
    </row>
    <row r="29" ht="17.45" customHeight="1">
      <c r="A29" t="s" s="250">
        <v>1116</v>
      </c>
      <c r="B29" t="s" s="250">
        <v>1117</v>
      </c>
      <c r="C29" s="253">
        <v>5</v>
      </c>
      <c r="D29" t="s" s="250">
        <v>1082</v>
      </c>
      <c r="E29" t="s" s="250">
        <v>804</v>
      </c>
      <c r="F29" t="s" s="250">
        <v>1132</v>
      </c>
      <c r="G29" s="253">
        <v>1</v>
      </c>
      <c r="H29" s="251"/>
      <c r="I29" s="251"/>
      <c r="J29" s="251"/>
      <c r="K29" s="251"/>
      <c r="L29" s="251"/>
      <c r="M29" s="251"/>
      <c r="N29" s="251"/>
      <c r="O29" s="251"/>
      <c r="P29" s="253">
        <v>1</v>
      </c>
      <c r="Q29" s="255">
        <v>17</v>
      </c>
      <c r="R29" s="251"/>
      <c r="S29" s="253">
        <v>1</v>
      </c>
      <c r="T29" s="251"/>
      <c r="U29" s="251"/>
      <c r="V29" s="251"/>
      <c r="W29" s="251"/>
      <c r="X29" t="s" s="250">
        <v>1133</v>
      </c>
      <c r="Y29" s="251"/>
      <c r="Z29" s="253">
        <v>1</v>
      </c>
      <c r="AA29" s="251"/>
      <c r="AB29" s="251"/>
      <c r="AC29" s="251"/>
      <c r="AD29" t="s" s="250">
        <v>181</v>
      </c>
      <c r="AE29" s="252"/>
      <c r="AF29" s="8"/>
      <c r="AG29" s="8"/>
      <c r="AH29" s="8"/>
      <c r="AI29" s="8"/>
      <c r="AJ29" s="8"/>
      <c r="AK29" s="8"/>
      <c r="AL29" s="8"/>
      <c r="AM29" s="8"/>
      <c r="AN29" s="8"/>
      <c r="AO29" s="8"/>
      <c r="AP29" s="8"/>
      <c r="AQ29" s="8"/>
      <c r="AR29" s="8"/>
      <c r="AS29" s="8"/>
      <c r="AT29" s="8"/>
      <c r="AU29" s="8"/>
      <c r="AV29" s="8"/>
      <c r="AW29" s="8"/>
      <c r="AX29" s="8"/>
      <c r="AY29" s="8"/>
    </row>
    <row r="30" ht="17.45" customHeight="1">
      <c r="A30" t="s" s="250">
        <v>1116</v>
      </c>
      <c r="B30" t="s" s="250">
        <v>1117</v>
      </c>
      <c r="C30" s="253">
        <v>5</v>
      </c>
      <c r="D30" t="s" s="250">
        <v>1082</v>
      </c>
      <c r="E30" t="s" s="250">
        <v>1134</v>
      </c>
      <c r="F30" t="s" s="250">
        <v>1135</v>
      </c>
      <c r="G30" s="253">
        <v>1</v>
      </c>
      <c r="H30" s="251"/>
      <c r="I30" s="251"/>
      <c r="J30" s="251"/>
      <c r="K30" s="251"/>
      <c r="L30" s="251"/>
      <c r="M30" s="251"/>
      <c r="N30" s="251"/>
      <c r="O30" s="251"/>
      <c r="P30" s="253">
        <v>1</v>
      </c>
      <c r="Q30" s="255">
        <v>17</v>
      </c>
      <c r="R30" s="251"/>
      <c r="S30" s="253">
        <v>1</v>
      </c>
      <c r="T30" s="251"/>
      <c r="U30" s="251"/>
      <c r="V30" s="251"/>
      <c r="W30" s="251"/>
      <c r="X30" t="s" s="250">
        <v>576</v>
      </c>
      <c r="Y30" s="251"/>
      <c r="Z30" s="253">
        <v>1</v>
      </c>
      <c r="AA30" s="251"/>
      <c r="AB30" s="251"/>
      <c r="AC30" s="251"/>
      <c r="AD30" t="s" s="250">
        <v>697</v>
      </c>
      <c r="AE30" s="252"/>
      <c r="AF30" s="8"/>
      <c r="AG30" s="8"/>
      <c r="AH30" s="8"/>
      <c r="AI30" s="8"/>
      <c r="AJ30" s="8"/>
      <c r="AK30" s="8"/>
      <c r="AL30" s="8"/>
      <c r="AM30" s="8"/>
      <c r="AN30" s="8"/>
      <c r="AO30" s="8"/>
      <c r="AP30" s="8"/>
      <c r="AQ30" s="8"/>
      <c r="AR30" s="8"/>
      <c r="AS30" s="8"/>
      <c r="AT30" s="8"/>
      <c r="AU30" s="8"/>
      <c r="AV30" s="8"/>
      <c r="AW30" s="8"/>
      <c r="AX30" s="8"/>
      <c r="AY30" s="8"/>
    </row>
    <row r="31" ht="17.45" customHeight="1">
      <c r="A31" t="s" s="250">
        <v>1136</v>
      </c>
      <c r="B31" s="251"/>
      <c r="C31" s="253">
        <v>7</v>
      </c>
      <c r="D31" t="s" s="250">
        <v>1082</v>
      </c>
      <c r="E31" t="s" s="250">
        <v>1137</v>
      </c>
      <c r="F31" t="s" s="250">
        <v>1138</v>
      </c>
      <c r="G31" s="251"/>
      <c r="H31" s="253">
        <v>1</v>
      </c>
      <c r="I31" s="251"/>
      <c r="J31" s="251"/>
      <c r="K31" s="253">
        <v>1</v>
      </c>
      <c r="L31" s="251"/>
      <c r="M31" s="251"/>
      <c r="N31" s="251"/>
      <c r="O31" s="251"/>
      <c r="P31" s="251"/>
      <c r="Q31" s="255">
        <v>48</v>
      </c>
      <c r="R31" s="253">
        <v>1</v>
      </c>
      <c r="S31" s="251"/>
      <c r="T31" s="251"/>
      <c r="U31" s="251"/>
      <c r="V31" s="251"/>
      <c r="W31" s="251"/>
      <c r="X31" t="s" s="250">
        <v>315</v>
      </c>
      <c r="Y31" s="251"/>
      <c r="Z31" s="253">
        <v>1</v>
      </c>
      <c r="AA31" s="253">
        <v>1</v>
      </c>
      <c r="AB31" s="251"/>
      <c r="AC31" s="253">
        <v>1</v>
      </c>
      <c r="AD31" s="251"/>
      <c r="AE31" s="252"/>
      <c r="AF31" s="8"/>
      <c r="AG31" s="8"/>
      <c r="AH31" s="8"/>
      <c r="AI31" s="8"/>
      <c r="AJ31" s="8"/>
      <c r="AK31" s="8"/>
      <c r="AL31" s="8"/>
      <c r="AM31" s="8"/>
      <c r="AN31" s="8"/>
      <c r="AO31" s="8"/>
      <c r="AP31" s="8"/>
      <c r="AQ31" s="8"/>
      <c r="AR31" s="8"/>
      <c r="AS31" s="8"/>
      <c r="AT31" s="8"/>
      <c r="AU31" s="8"/>
      <c r="AV31" s="8"/>
      <c r="AW31" s="8"/>
      <c r="AX31" s="8"/>
      <c r="AY31" s="8"/>
    </row>
    <row r="32" ht="17.45" customHeight="1">
      <c r="A32" t="s" s="250">
        <v>1136</v>
      </c>
      <c r="B32" s="251"/>
      <c r="C32" s="253">
        <v>7</v>
      </c>
      <c r="D32" t="s" s="250">
        <v>1082</v>
      </c>
      <c r="E32" t="s" s="250">
        <v>1137</v>
      </c>
      <c r="F32" t="s" s="250">
        <v>1139</v>
      </c>
      <c r="G32" s="253">
        <v>1</v>
      </c>
      <c r="H32" s="251"/>
      <c r="I32" s="251"/>
      <c r="J32" s="251"/>
      <c r="K32" s="251"/>
      <c r="L32" s="253">
        <v>1</v>
      </c>
      <c r="M32" s="251"/>
      <c r="N32" s="251"/>
      <c r="O32" s="251"/>
      <c r="P32" s="251"/>
      <c r="Q32" s="255">
        <v>33</v>
      </c>
      <c r="R32" s="253">
        <v>1</v>
      </c>
      <c r="S32" s="251"/>
      <c r="T32" s="251"/>
      <c r="U32" s="253">
        <v>4</v>
      </c>
      <c r="V32" s="251"/>
      <c r="W32" s="251"/>
      <c r="X32" s="251"/>
      <c r="Y32" s="251"/>
      <c r="Z32" s="251"/>
      <c r="AA32" s="251"/>
      <c r="AB32" s="251"/>
      <c r="AC32" s="251"/>
      <c r="AD32" t="s" s="250">
        <v>1140</v>
      </c>
      <c r="AE32" s="252"/>
      <c r="AF32" s="8"/>
      <c r="AG32" s="8"/>
      <c r="AH32" s="8"/>
      <c r="AI32" s="8"/>
      <c r="AJ32" s="8"/>
      <c r="AK32" s="8"/>
      <c r="AL32" s="8"/>
      <c r="AM32" s="8"/>
      <c r="AN32" s="8"/>
      <c r="AO32" s="8"/>
      <c r="AP32" s="8"/>
      <c r="AQ32" s="8"/>
      <c r="AR32" s="8"/>
      <c r="AS32" s="8"/>
      <c r="AT32" s="8"/>
      <c r="AU32" s="8"/>
      <c r="AV32" s="8"/>
      <c r="AW32" s="8"/>
      <c r="AX32" s="8"/>
      <c r="AY32" s="8"/>
    </row>
    <row r="33" ht="17.45" customHeight="1">
      <c r="A33" t="s" s="250">
        <v>1136</v>
      </c>
      <c r="B33" s="251"/>
      <c r="C33" s="253">
        <v>7</v>
      </c>
      <c r="D33" t="s" s="250">
        <v>1082</v>
      </c>
      <c r="E33" t="s" s="250">
        <v>879</v>
      </c>
      <c r="F33" t="s" s="250">
        <v>1141</v>
      </c>
      <c r="G33" s="253">
        <v>1</v>
      </c>
      <c r="H33" s="251"/>
      <c r="I33" s="251"/>
      <c r="J33" s="251"/>
      <c r="K33" s="251"/>
      <c r="L33" s="251"/>
      <c r="M33" s="251"/>
      <c r="N33" s="251"/>
      <c r="O33" s="251"/>
      <c r="P33" s="253">
        <v>1</v>
      </c>
      <c r="Q33" s="255">
        <v>27</v>
      </c>
      <c r="R33" s="251"/>
      <c r="S33" s="253">
        <v>1</v>
      </c>
      <c r="T33" s="251"/>
      <c r="U33" s="251"/>
      <c r="V33" s="251"/>
      <c r="W33" s="251"/>
      <c r="X33" t="s" s="250">
        <v>159</v>
      </c>
      <c r="Y33" s="251"/>
      <c r="Z33" s="253">
        <v>1</v>
      </c>
      <c r="AA33" s="251"/>
      <c r="AB33" s="251"/>
      <c r="AC33" s="251"/>
      <c r="AD33" t="s" s="250">
        <v>308</v>
      </c>
      <c r="AE33" s="252"/>
      <c r="AF33" s="8"/>
      <c r="AG33" s="8"/>
      <c r="AH33" s="8"/>
      <c r="AI33" s="8"/>
      <c r="AJ33" s="8"/>
      <c r="AK33" s="8"/>
      <c r="AL33" s="8"/>
      <c r="AM33" s="8"/>
      <c r="AN33" s="8"/>
      <c r="AO33" s="8"/>
      <c r="AP33" s="8"/>
      <c r="AQ33" s="8"/>
      <c r="AR33" s="8"/>
      <c r="AS33" s="8"/>
      <c r="AT33" s="8"/>
      <c r="AU33" s="8"/>
      <c r="AV33" s="8"/>
      <c r="AW33" s="8"/>
      <c r="AX33" s="8"/>
      <c r="AY33" s="8"/>
    </row>
    <row r="34" ht="17.45" customHeight="1">
      <c r="A34" t="s" s="250">
        <v>1136</v>
      </c>
      <c r="B34" s="251"/>
      <c r="C34" s="253">
        <v>7</v>
      </c>
      <c r="D34" t="s" s="250">
        <v>1082</v>
      </c>
      <c r="E34" t="s" s="250">
        <v>1142</v>
      </c>
      <c r="F34" t="s" s="250">
        <v>49</v>
      </c>
      <c r="G34" s="253">
        <v>1</v>
      </c>
      <c r="H34" s="251"/>
      <c r="I34" s="251"/>
      <c r="J34" s="251"/>
      <c r="K34" s="251"/>
      <c r="L34" s="251"/>
      <c r="M34" s="251"/>
      <c r="N34" s="251"/>
      <c r="O34" s="251"/>
      <c r="P34" s="253">
        <v>1</v>
      </c>
      <c r="Q34" s="255">
        <v>27</v>
      </c>
      <c r="R34" s="251"/>
      <c r="S34" s="253">
        <v>1</v>
      </c>
      <c r="T34" s="251"/>
      <c r="U34" s="251"/>
      <c r="V34" s="251"/>
      <c r="W34" s="251"/>
      <c r="X34" t="s" s="250">
        <v>162</v>
      </c>
      <c r="Y34" s="251"/>
      <c r="Z34" s="253">
        <v>1</v>
      </c>
      <c r="AA34" s="251"/>
      <c r="AB34" s="251"/>
      <c r="AC34" s="251"/>
      <c r="AD34" t="s" s="250">
        <v>308</v>
      </c>
      <c r="AE34" s="252"/>
      <c r="AF34" s="8"/>
      <c r="AG34" s="8"/>
      <c r="AH34" s="8"/>
      <c r="AI34" s="8"/>
      <c r="AJ34" s="8"/>
      <c r="AK34" s="8"/>
      <c r="AL34" s="8"/>
      <c r="AM34" s="8"/>
      <c r="AN34" s="8"/>
      <c r="AO34" s="8"/>
      <c r="AP34" s="8"/>
      <c r="AQ34" s="8"/>
      <c r="AR34" s="8"/>
      <c r="AS34" s="8"/>
      <c r="AT34" s="8"/>
      <c r="AU34" s="8"/>
      <c r="AV34" s="8"/>
      <c r="AW34" s="8"/>
      <c r="AX34" s="8"/>
      <c r="AY34" s="8"/>
    </row>
    <row r="35" ht="17.45" customHeight="1">
      <c r="A35" t="s" s="250">
        <v>1143</v>
      </c>
      <c r="B35" t="s" s="250">
        <v>1144</v>
      </c>
      <c r="C35" s="253">
        <v>9</v>
      </c>
      <c r="D35" t="s" s="250">
        <v>1082</v>
      </c>
      <c r="E35" t="s" s="250">
        <v>1145</v>
      </c>
      <c r="F35" t="s" s="250">
        <v>202</v>
      </c>
      <c r="G35" s="253">
        <v>1</v>
      </c>
      <c r="H35" s="251"/>
      <c r="I35" s="251"/>
      <c r="J35" s="251"/>
      <c r="K35" s="251"/>
      <c r="L35" s="251"/>
      <c r="M35" s="251"/>
      <c r="N35" s="251"/>
      <c r="O35" s="251"/>
      <c r="P35" s="253">
        <v>1</v>
      </c>
      <c r="Q35" s="255">
        <v>36</v>
      </c>
      <c r="R35" s="251"/>
      <c r="S35" s="253">
        <v>1</v>
      </c>
      <c r="T35" s="251"/>
      <c r="U35" s="251"/>
      <c r="V35" s="251"/>
      <c r="W35" s="251"/>
      <c r="X35" t="s" s="250">
        <v>159</v>
      </c>
      <c r="Y35" s="251"/>
      <c r="Z35" s="253">
        <v>1</v>
      </c>
      <c r="AA35" s="251"/>
      <c r="AB35" s="251"/>
      <c r="AC35" s="253">
        <v>1</v>
      </c>
      <c r="AD35" s="251"/>
      <c r="AE35" t="s" s="256">
        <v>1146</v>
      </c>
      <c r="AF35" s="8"/>
      <c r="AG35" s="8"/>
      <c r="AH35" s="8"/>
      <c r="AI35" s="8"/>
      <c r="AJ35" s="8"/>
      <c r="AK35" s="8"/>
      <c r="AL35" s="8"/>
      <c r="AM35" s="8"/>
      <c r="AN35" s="8"/>
      <c r="AO35" s="8"/>
      <c r="AP35" s="8"/>
      <c r="AQ35" s="8"/>
      <c r="AR35" s="8"/>
      <c r="AS35" s="8"/>
      <c r="AT35" s="8"/>
      <c r="AU35" s="8"/>
      <c r="AV35" s="8"/>
      <c r="AW35" s="8"/>
      <c r="AX35" s="8"/>
      <c r="AY35" s="8"/>
    </row>
    <row r="36" ht="17.45" customHeight="1">
      <c r="A36" t="s" s="250">
        <v>1143</v>
      </c>
      <c r="B36" t="s" s="250">
        <v>1144</v>
      </c>
      <c r="C36" s="253">
        <v>9</v>
      </c>
      <c r="D36" t="s" s="250">
        <v>1082</v>
      </c>
      <c r="E36" t="s" s="250">
        <v>1147</v>
      </c>
      <c r="F36" t="s" s="250">
        <v>1148</v>
      </c>
      <c r="G36" s="253">
        <v>1</v>
      </c>
      <c r="H36" s="251"/>
      <c r="I36" s="251"/>
      <c r="J36" s="251"/>
      <c r="K36" s="251"/>
      <c r="L36" s="251"/>
      <c r="M36" s="251"/>
      <c r="N36" s="251"/>
      <c r="O36" s="251"/>
      <c r="P36" s="253">
        <v>1</v>
      </c>
      <c r="Q36" s="255">
        <v>24</v>
      </c>
      <c r="R36" s="251"/>
      <c r="S36" s="253">
        <v>1</v>
      </c>
      <c r="T36" s="251"/>
      <c r="U36" s="251"/>
      <c r="V36" s="251"/>
      <c r="W36" s="251"/>
      <c r="X36" t="s" s="250">
        <v>162</v>
      </c>
      <c r="Y36" s="251"/>
      <c r="Z36" s="253">
        <v>1</v>
      </c>
      <c r="AA36" s="251"/>
      <c r="AB36" s="251"/>
      <c r="AC36" s="253">
        <v>1</v>
      </c>
      <c r="AD36" s="251"/>
      <c r="AE36" s="252"/>
      <c r="AF36" s="8"/>
      <c r="AG36" s="8"/>
      <c r="AH36" s="8"/>
      <c r="AI36" s="8"/>
      <c r="AJ36" s="8"/>
      <c r="AK36" s="8"/>
      <c r="AL36" s="8"/>
      <c r="AM36" s="8"/>
      <c r="AN36" s="8"/>
      <c r="AO36" s="8"/>
      <c r="AP36" s="8"/>
      <c r="AQ36" s="8"/>
      <c r="AR36" s="8"/>
      <c r="AS36" s="8"/>
      <c r="AT36" s="8"/>
      <c r="AU36" s="8"/>
      <c r="AV36" s="8"/>
      <c r="AW36" s="8"/>
      <c r="AX36" s="8"/>
      <c r="AY36" s="8"/>
    </row>
    <row r="37" ht="17.45" customHeight="1">
      <c r="A37" t="s" s="250">
        <v>1143</v>
      </c>
      <c r="B37" t="s" s="250">
        <v>1144</v>
      </c>
      <c r="C37" s="253">
        <v>9</v>
      </c>
      <c r="D37" t="s" s="250">
        <v>1082</v>
      </c>
      <c r="E37" t="s" s="250">
        <v>1149</v>
      </c>
      <c r="F37" t="s" s="250">
        <v>1150</v>
      </c>
      <c r="G37" s="253">
        <v>1</v>
      </c>
      <c r="H37" s="251"/>
      <c r="I37" s="251"/>
      <c r="J37" s="251"/>
      <c r="K37" s="251"/>
      <c r="L37" s="251"/>
      <c r="M37" s="251"/>
      <c r="N37" s="251"/>
      <c r="O37" s="251"/>
      <c r="P37" s="253">
        <v>1</v>
      </c>
      <c r="Q37" s="255">
        <v>21</v>
      </c>
      <c r="R37" s="251"/>
      <c r="S37" s="253">
        <v>1</v>
      </c>
      <c r="T37" s="251"/>
      <c r="U37" s="251"/>
      <c r="V37" s="251"/>
      <c r="W37" s="251"/>
      <c r="X37" t="s" s="250">
        <v>497</v>
      </c>
      <c r="Y37" s="251"/>
      <c r="Z37" s="253">
        <v>1</v>
      </c>
      <c r="AA37" s="251"/>
      <c r="AB37" s="251"/>
      <c r="AC37" s="251"/>
      <c r="AD37" t="s" s="250">
        <v>429</v>
      </c>
      <c r="AE37" s="252"/>
      <c r="AF37" s="8"/>
      <c r="AG37" s="8"/>
      <c r="AH37" s="8"/>
      <c r="AI37" s="8"/>
      <c r="AJ37" s="8"/>
      <c r="AK37" s="8"/>
      <c r="AL37" s="8"/>
      <c r="AM37" s="8"/>
      <c r="AN37" s="8"/>
      <c r="AO37" s="8"/>
      <c r="AP37" s="8"/>
      <c r="AQ37" s="8"/>
      <c r="AR37" s="8"/>
      <c r="AS37" s="8"/>
      <c r="AT37" s="8"/>
      <c r="AU37" s="8"/>
      <c r="AV37" s="8"/>
      <c r="AW37" s="8"/>
      <c r="AX37" s="8"/>
      <c r="AY37" s="8"/>
    </row>
    <row r="38" ht="17.45" customHeight="1">
      <c r="A38" t="s" s="250">
        <v>1143</v>
      </c>
      <c r="B38" t="s" s="250">
        <v>1144</v>
      </c>
      <c r="C38" s="253">
        <v>9</v>
      </c>
      <c r="D38" t="s" s="250">
        <v>1082</v>
      </c>
      <c r="E38" t="s" s="250">
        <v>1151</v>
      </c>
      <c r="F38" t="s" s="250">
        <v>1152</v>
      </c>
      <c r="G38" s="251"/>
      <c r="H38" s="253">
        <v>1</v>
      </c>
      <c r="I38" s="251"/>
      <c r="J38" s="251"/>
      <c r="K38" s="251"/>
      <c r="L38" s="251"/>
      <c r="M38" s="251"/>
      <c r="N38" s="251"/>
      <c r="O38" s="251"/>
      <c r="P38" s="253">
        <v>1</v>
      </c>
      <c r="Q38" s="255">
        <v>17</v>
      </c>
      <c r="R38" s="251"/>
      <c r="S38" s="253">
        <v>1</v>
      </c>
      <c r="T38" s="251"/>
      <c r="U38" s="251"/>
      <c r="V38" s="251"/>
      <c r="W38" s="251"/>
      <c r="X38" t="s" s="250">
        <v>1153</v>
      </c>
      <c r="Y38" s="251"/>
      <c r="Z38" s="253">
        <v>1</v>
      </c>
      <c r="AA38" s="251"/>
      <c r="AB38" s="251"/>
      <c r="AC38" s="253">
        <v>1</v>
      </c>
      <c r="AD38" s="251"/>
      <c r="AE38" s="252"/>
      <c r="AF38" s="8"/>
      <c r="AG38" s="8"/>
      <c r="AH38" s="8"/>
      <c r="AI38" s="8"/>
      <c r="AJ38" s="8"/>
      <c r="AK38" s="8"/>
      <c r="AL38" s="8"/>
      <c r="AM38" s="8"/>
      <c r="AN38" s="8"/>
      <c r="AO38" s="8"/>
      <c r="AP38" s="8"/>
      <c r="AQ38" s="8"/>
      <c r="AR38" s="8"/>
      <c r="AS38" s="8"/>
      <c r="AT38" s="8"/>
      <c r="AU38" s="8"/>
      <c r="AV38" s="8"/>
      <c r="AW38" s="8"/>
      <c r="AX38" s="8"/>
      <c r="AY38" s="8"/>
    </row>
    <row r="39" ht="17.45" customHeight="1">
      <c r="A39" t="s" s="250">
        <v>1154</v>
      </c>
      <c r="B39" t="s" s="250">
        <v>1155</v>
      </c>
      <c r="C39" s="251"/>
      <c r="D39" t="s" s="250">
        <v>1082</v>
      </c>
      <c r="E39" t="s" s="250">
        <v>1156</v>
      </c>
      <c r="F39" t="s" s="250">
        <v>1157</v>
      </c>
      <c r="G39" s="251"/>
      <c r="H39" s="253">
        <v>1</v>
      </c>
      <c r="I39" s="251"/>
      <c r="J39" s="251"/>
      <c r="K39" s="253">
        <v>1</v>
      </c>
      <c r="L39" s="251"/>
      <c r="M39" s="251"/>
      <c r="N39" s="251"/>
      <c r="O39" s="251"/>
      <c r="P39" s="251"/>
      <c r="Q39" s="255">
        <v>45</v>
      </c>
      <c r="R39" s="253">
        <v>1</v>
      </c>
      <c r="S39" s="251"/>
      <c r="T39" s="251"/>
      <c r="U39" s="251"/>
      <c r="V39" s="251"/>
      <c r="W39" s="251"/>
      <c r="X39" t="s" s="250">
        <v>1158</v>
      </c>
      <c r="Y39" s="251"/>
      <c r="Z39" s="253">
        <v>1</v>
      </c>
      <c r="AA39" s="253">
        <v>1</v>
      </c>
      <c r="AB39" s="251"/>
      <c r="AC39" s="253">
        <v>1</v>
      </c>
      <c r="AD39" s="251"/>
      <c r="AE39" s="252"/>
      <c r="AF39" s="8"/>
      <c r="AG39" s="8"/>
      <c r="AH39" s="8"/>
      <c r="AI39" s="8"/>
      <c r="AJ39" s="8"/>
      <c r="AK39" s="8"/>
      <c r="AL39" s="8"/>
      <c r="AM39" s="8"/>
      <c r="AN39" s="8"/>
      <c r="AO39" s="8"/>
      <c r="AP39" s="8"/>
      <c r="AQ39" s="8"/>
      <c r="AR39" s="8"/>
      <c r="AS39" s="8"/>
      <c r="AT39" s="8"/>
      <c r="AU39" s="8"/>
      <c r="AV39" s="8"/>
      <c r="AW39" s="8"/>
      <c r="AX39" s="8"/>
      <c r="AY39" s="8"/>
    </row>
    <row r="40" ht="17.45" customHeight="1">
      <c r="A40" t="s" s="250">
        <v>1154</v>
      </c>
      <c r="B40" t="s" s="250">
        <v>1155</v>
      </c>
      <c r="C40" s="251"/>
      <c r="D40" t="s" s="250">
        <v>1082</v>
      </c>
      <c r="E40" t="s" s="250">
        <v>1156</v>
      </c>
      <c r="F40" t="s" s="250">
        <v>948</v>
      </c>
      <c r="G40" s="253">
        <v>1</v>
      </c>
      <c r="H40" s="251"/>
      <c r="I40" s="251"/>
      <c r="J40" s="251"/>
      <c r="K40" s="251"/>
      <c r="L40" s="253">
        <v>1</v>
      </c>
      <c r="M40" s="251"/>
      <c r="N40" s="251"/>
      <c r="O40" s="251"/>
      <c r="P40" s="251"/>
      <c r="Q40" s="255">
        <v>41</v>
      </c>
      <c r="R40" s="253">
        <v>1</v>
      </c>
      <c r="S40" s="251"/>
      <c r="T40" s="251"/>
      <c r="U40" s="253">
        <v>4</v>
      </c>
      <c r="V40" s="253">
        <v>2</v>
      </c>
      <c r="W40" s="253">
        <v>2</v>
      </c>
      <c r="X40" s="251"/>
      <c r="Y40" s="251"/>
      <c r="Z40" s="251"/>
      <c r="AA40" s="251"/>
      <c r="AB40" s="251"/>
      <c r="AC40" s="251"/>
      <c r="AD40" t="s" s="250">
        <v>1159</v>
      </c>
      <c r="AE40" s="252"/>
      <c r="AF40" s="8"/>
      <c r="AG40" s="8"/>
      <c r="AH40" s="8"/>
      <c r="AI40" s="8"/>
      <c r="AJ40" s="8"/>
      <c r="AK40" s="8"/>
      <c r="AL40" s="8"/>
      <c r="AM40" s="8"/>
      <c r="AN40" s="8"/>
      <c r="AO40" s="8"/>
      <c r="AP40" s="8"/>
      <c r="AQ40" s="8"/>
      <c r="AR40" s="8"/>
      <c r="AS40" s="8"/>
      <c r="AT40" s="8"/>
      <c r="AU40" s="8"/>
      <c r="AV40" s="8"/>
      <c r="AW40" s="8"/>
      <c r="AX40" s="8"/>
      <c r="AY40" s="8"/>
    </row>
    <row r="41" ht="17.45" customHeight="1">
      <c r="A41" t="s" s="250">
        <v>1154</v>
      </c>
      <c r="B41" t="s" s="250">
        <v>1155</v>
      </c>
      <c r="C41" s="251"/>
      <c r="D41" t="s" s="250">
        <v>1082</v>
      </c>
      <c r="E41" t="s" s="250">
        <v>1156</v>
      </c>
      <c r="F41" t="s" s="250">
        <v>1160</v>
      </c>
      <c r="G41" s="251"/>
      <c r="H41" s="251"/>
      <c r="I41" s="251"/>
      <c r="J41" s="253">
        <v>1</v>
      </c>
      <c r="K41" s="251"/>
      <c r="L41" s="251"/>
      <c r="M41" s="251"/>
      <c r="N41" s="253">
        <v>1</v>
      </c>
      <c r="O41" s="251"/>
      <c r="P41" s="251"/>
      <c r="Q41" s="255">
        <v>3</v>
      </c>
      <c r="R41" s="251"/>
      <c r="S41" s="251"/>
      <c r="T41" s="251"/>
      <c r="U41" s="251"/>
      <c r="V41" s="251"/>
      <c r="W41" s="251"/>
      <c r="X41" s="251"/>
      <c r="Y41" s="251"/>
      <c r="Z41" s="251"/>
      <c r="AA41" s="251"/>
      <c r="AB41" s="251"/>
      <c r="AC41" s="253">
        <v>1</v>
      </c>
      <c r="AD41" s="251"/>
      <c r="AE41" s="252"/>
      <c r="AF41" s="8"/>
      <c r="AG41" s="8"/>
      <c r="AH41" s="8"/>
      <c r="AI41" s="8"/>
      <c r="AJ41" s="8"/>
      <c r="AK41" s="8"/>
      <c r="AL41" s="8"/>
      <c r="AM41" s="8"/>
      <c r="AN41" s="8"/>
      <c r="AO41" s="8"/>
      <c r="AP41" s="8"/>
      <c r="AQ41" s="8"/>
      <c r="AR41" s="8"/>
      <c r="AS41" s="8"/>
      <c r="AT41" s="8"/>
      <c r="AU41" s="8"/>
      <c r="AV41" s="8"/>
      <c r="AW41" s="8"/>
      <c r="AX41" s="8"/>
      <c r="AY41" s="8"/>
    </row>
    <row r="42" ht="17" customHeight="1">
      <c r="A42" t="s" s="250">
        <v>1154</v>
      </c>
      <c r="B42" t="s" s="250">
        <v>1155</v>
      </c>
      <c r="C42" s="251"/>
      <c r="D42" t="s" s="250">
        <v>1082</v>
      </c>
      <c r="E42" t="s" s="250">
        <v>1156</v>
      </c>
      <c r="F42" t="s" s="250">
        <v>1161</v>
      </c>
      <c r="G42" s="251"/>
      <c r="H42" s="251"/>
      <c r="I42" s="251"/>
      <c r="J42" s="253">
        <v>1</v>
      </c>
      <c r="K42" s="251"/>
      <c r="L42" s="251"/>
      <c r="M42" s="251"/>
      <c r="N42" s="253">
        <v>1</v>
      </c>
      <c r="O42" s="251"/>
      <c r="P42" s="251"/>
      <c r="Q42" t="s" s="250">
        <v>1162</v>
      </c>
      <c r="R42" s="251"/>
      <c r="S42" s="251"/>
      <c r="T42" s="251"/>
      <c r="U42" s="251"/>
      <c r="V42" s="251"/>
      <c r="W42" s="251"/>
      <c r="X42" s="251"/>
      <c r="Y42" s="251"/>
      <c r="Z42" s="251"/>
      <c r="AA42" s="251"/>
      <c r="AB42" s="251"/>
      <c r="AC42" s="253">
        <v>1</v>
      </c>
      <c r="AD42" s="251"/>
      <c r="AE42" s="252"/>
      <c r="AF42" s="8"/>
      <c r="AG42" s="8"/>
      <c r="AH42" s="8"/>
      <c r="AI42" s="8"/>
      <c r="AJ42" s="8"/>
      <c r="AK42" s="8"/>
      <c r="AL42" s="8"/>
      <c r="AM42" s="8"/>
      <c r="AN42" s="8"/>
      <c r="AO42" s="8"/>
      <c r="AP42" s="8"/>
      <c r="AQ42" s="8"/>
      <c r="AR42" s="8"/>
      <c r="AS42" s="8"/>
      <c r="AT42" s="8"/>
      <c r="AU42" s="8"/>
      <c r="AV42" s="8"/>
      <c r="AW42" s="8"/>
      <c r="AX42" s="8"/>
      <c r="AY42" s="8"/>
    </row>
    <row r="43" ht="17.45" customHeight="1">
      <c r="A43" t="s" s="250">
        <v>1154</v>
      </c>
      <c r="B43" t="s" s="250">
        <v>1155</v>
      </c>
      <c r="C43" s="251"/>
      <c r="D43" t="s" s="250">
        <v>1082</v>
      </c>
      <c r="E43" t="s" s="250">
        <v>1163</v>
      </c>
      <c r="F43" t="s" s="250">
        <v>1164</v>
      </c>
      <c r="G43" s="253">
        <v>1</v>
      </c>
      <c r="H43" s="251"/>
      <c r="I43" s="251"/>
      <c r="J43" s="251"/>
      <c r="K43" s="251"/>
      <c r="L43" s="251"/>
      <c r="M43" s="251"/>
      <c r="N43" s="251"/>
      <c r="O43" s="251"/>
      <c r="P43" s="253">
        <v>1</v>
      </c>
      <c r="Q43" s="255">
        <v>26</v>
      </c>
      <c r="R43" s="251"/>
      <c r="S43" s="253">
        <v>1</v>
      </c>
      <c r="T43" s="251"/>
      <c r="U43" s="251"/>
      <c r="V43" s="251"/>
      <c r="W43" s="251"/>
      <c r="X43" t="s" s="250">
        <v>159</v>
      </c>
      <c r="Y43" s="251"/>
      <c r="Z43" s="253">
        <v>1</v>
      </c>
      <c r="AA43" s="251"/>
      <c r="AB43" s="251"/>
      <c r="AC43" s="251"/>
      <c r="AD43" t="s" s="250">
        <v>1165</v>
      </c>
      <c r="AE43" s="252"/>
      <c r="AF43" s="8"/>
      <c r="AG43" s="8"/>
      <c r="AH43" s="8"/>
      <c r="AI43" s="8"/>
      <c r="AJ43" s="8"/>
      <c r="AK43" s="8"/>
      <c r="AL43" s="8"/>
      <c r="AM43" s="8"/>
      <c r="AN43" s="8"/>
      <c r="AO43" s="8"/>
      <c r="AP43" s="8"/>
      <c r="AQ43" s="8"/>
      <c r="AR43" s="8"/>
      <c r="AS43" s="8"/>
      <c r="AT43" s="8"/>
      <c r="AU43" s="8"/>
      <c r="AV43" s="8"/>
      <c r="AW43" s="8"/>
      <c r="AX43" s="8"/>
      <c r="AY43" s="8"/>
    </row>
    <row r="44" ht="17.45" customHeight="1">
      <c r="A44" t="s" s="250">
        <v>1154</v>
      </c>
      <c r="B44" t="s" s="250">
        <v>1155</v>
      </c>
      <c r="C44" s="251"/>
      <c r="D44" t="s" s="250">
        <v>1082</v>
      </c>
      <c r="E44" t="s" s="250">
        <v>888</v>
      </c>
      <c r="F44" t="s" s="250">
        <v>496</v>
      </c>
      <c r="G44" s="253">
        <v>1</v>
      </c>
      <c r="H44" s="251"/>
      <c r="I44" s="251"/>
      <c r="J44" s="251"/>
      <c r="K44" s="251"/>
      <c r="L44" s="251"/>
      <c r="M44" s="251"/>
      <c r="N44" s="251"/>
      <c r="O44" s="251"/>
      <c r="P44" s="253">
        <v>1</v>
      </c>
      <c r="Q44" s="255">
        <v>24</v>
      </c>
      <c r="R44" s="251"/>
      <c r="S44" s="253">
        <v>1</v>
      </c>
      <c r="T44" s="251"/>
      <c r="U44" s="251"/>
      <c r="V44" s="251"/>
      <c r="W44" s="251"/>
      <c r="X44" t="s" s="250">
        <v>165</v>
      </c>
      <c r="Y44" s="251"/>
      <c r="Z44" s="253">
        <v>1</v>
      </c>
      <c r="AA44" s="251"/>
      <c r="AB44" s="251"/>
      <c r="AC44" s="253">
        <v>1</v>
      </c>
      <c r="AD44" s="251"/>
      <c r="AE44" s="252"/>
      <c r="AF44" s="8"/>
      <c r="AG44" s="8"/>
      <c r="AH44" s="8"/>
      <c r="AI44" s="8"/>
      <c r="AJ44" s="8"/>
      <c r="AK44" s="8"/>
      <c r="AL44" s="8"/>
      <c r="AM44" s="8"/>
      <c r="AN44" s="8"/>
      <c r="AO44" s="8"/>
      <c r="AP44" s="8"/>
      <c r="AQ44" s="8"/>
      <c r="AR44" s="8"/>
      <c r="AS44" s="8"/>
      <c r="AT44" s="8"/>
      <c r="AU44" s="8"/>
      <c r="AV44" s="8"/>
      <c r="AW44" s="8"/>
      <c r="AX44" s="8"/>
      <c r="AY44" s="8"/>
    </row>
    <row r="45" ht="17.45" customHeight="1">
      <c r="A45" t="s" s="250">
        <v>1154</v>
      </c>
      <c r="B45" t="s" s="250">
        <v>1155</v>
      </c>
      <c r="C45" s="251"/>
      <c r="D45" t="s" s="250">
        <v>1082</v>
      </c>
      <c r="E45" t="s" s="250">
        <v>425</v>
      </c>
      <c r="F45" t="s" s="250">
        <v>1166</v>
      </c>
      <c r="G45" s="253">
        <v>1</v>
      </c>
      <c r="H45" s="251"/>
      <c r="I45" s="251"/>
      <c r="J45" s="251"/>
      <c r="K45" s="251"/>
      <c r="L45" s="251"/>
      <c r="M45" s="251"/>
      <c r="N45" s="251"/>
      <c r="O45" s="251"/>
      <c r="P45" s="253">
        <v>1</v>
      </c>
      <c r="Q45" s="255">
        <v>29</v>
      </c>
      <c r="R45" s="251"/>
      <c r="S45" s="253">
        <v>1</v>
      </c>
      <c r="T45" s="251"/>
      <c r="U45" s="251"/>
      <c r="V45" s="251"/>
      <c r="W45" s="251"/>
      <c r="X45" t="s" s="250">
        <v>576</v>
      </c>
      <c r="Y45" s="251"/>
      <c r="Z45" s="253">
        <v>1</v>
      </c>
      <c r="AA45" s="251"/>
      <c r="AB45" s="251"/>
      <c r="AC45" s="251"/>
      <c r="AD45" t="s" s="250">
        <v>429</v>
      </c>
      <c r="AE45" s="252"/>
      <c r="AF45" s="8"/>
      <c r="AG45" s="8"/>
      <c r="AH45" s="8"/>
      <c r="AI45" s="8"/>
      <c r="AJ45" s="8"/>
      <c r="AK45" s="8"/>
      <c r="AL45" s="8"/>
      <c r="AM45" s="8"/>
      <c r="AN45" s="8"/>
      <c r="AO45" s="8"/>
      <c r="AP45" s="8"/>
      <c r="AQ45" s="8"/>
      <c r="AR45" s="8"/>
      <c r="AS45" s="8"/>
      <c r="AT45" s="8"/>
      <c r="AU45" s="8"/>
      <c r="AV45" s="8"/>
      <c r="AW45" s="8"/>
      <c r="AX45" s="8"/>
      <c r="AY45" s="8"/>
    </row>
    <row r="46" ht="17.45" customHeight="1">
      <c r="A46" t="s" s="250">
        <v>1154</v>
      </c>
      <c r="B46" t="s" s="250">
        <v>1155</v>
      </c>
      <c r="C46" s="251"/>
      <c r="D46" t="s" s="250">
        <v>1082</v>
      </c>
      <c r="E46" t="s" s="250">
        <v>1167</v>
      </c>
      <c r="F46" t="s" s="250">
        <v>1168</v>
      </c>
      <c r="G46" s="253">
        <v>1</v>
      </c>
      <c r="H46" s="251"/>
      <c r="I46" s="251"/>
      <c r="J46" s="251"/>
      <c r="K46" s="251"/>
      <c r="L46" s="251"/>
      <c r="M46" s="251"/>
      <c r="N46" s="251"/>
      <c r="O46" s="251"/>
      <c r="P46" s="253">
        <v>1</v>
      </c>
      <c r="Q46" s="255">
        <v>25</v>
      </c>
      <c r="R46" s="253">
        <v>1</v>
      </c>
      <c r="S46" s="253">
        <v>1</v>
      </c>
      <c r="T46" s="251"/>
      <c r="U46" s="251"/>
      <c r="V46" s="251"/>
      <c r="W46" s="251"/>
      <c r="X46" t="s" s="250">
        <v>576</v>
      </c>
      <c r="Y46" s="251"/>
      <c r="Z46" s="253">
        <v>1</v>
      </c>
      <c r="AA46" s="251"/>
      <c r="AB46" s="251"/>
      <c r="AC46" s="251"/>
      <c r="AD46" t="s" s="250">
        <v>591</v>
      </c>
      <c r="AE46" s="252"/>
      <c r="AF46" s="8"/>
      <c r="AG46" s="8"/>
      <c r="AH46" s="8"/>
      <c r="AI46" s="8"/>
      <c r="AJ46" s="8"/>
      <c r="AK46" s="8"/>
      <c r="AL46" s="8"/>
      <c r="AM46" s="8"/>
      <c r="AN46" s="8"/>
      <c r="AO46" s="8"/>
      <c r="AP46" s="8"/>
      <c r="AQ46" s="8"/>
      <c r="AR46" s="8"/>
      <c r="AS46" s="8"/>
      <c r="AT46" s="8"/>
      <c r="AU46" s="8"/>
      <c r="AV46" s="8"/>
      <c r="AW46" s="8"/>
      <c r="AX46" s="8"/>
      <c r="AY46" s="8"/>
    </row>
    <row r="47" ht="17.45" customHeight="1">
      <c r="A47" t="s" s="250">
        <v>1154</v>
      </c>
      <c r="B47" t="s" s="250">
        <v>1155</v>
      </c>
      <c r="C47" s="251"/>
      <c r="D47" t="s" s="250">
        <v>1082</v>
      </c>
      <c r="E47" t="s" s="250">
        <v>1169</v>
      </c>
      <c r="F47" t="s" s="250">
        <v>51</v>
      </c>
      <c r="G47" s="253">
        <v>1</v>
      </c>
      <c r="H47" s="251"/>
      <c r="I47" s="251"/>
      <c r="J47" s="251"/>
      <c r="K47" s="251"/>
      <c r="L47" s="251"/>
      <c r="M47" s="251"/>
      <c r="N47" s="251"/>
      <c r="O47" s="251"/>
      <c r="P47" s="253">
        <v>1</v>
      </c>
      <c r="Q47" s="255">
        <v>23</v>
      </c>
      <c r="R47" s="251"/>
      <c r="S47" s="253">
        <v>1</v>
      </c>
      <c r="T47" s="251"/>
      <c r="U47" s="251"/>
      <c r="V47" s="251"/>
      <c r="W47" s="251"/>
      <c r="X47" t="s" s="250">
        <v>162</v>
      </c>
      <c r="Y47" s="251"/>
      <c r="Z47" s="253">
        <v>1</v>
      </c>
      <c r="AA47" s="251"/>
      <c r="AB47" s="251"/>
      <c r="AC47" s="251"/>
      <c r="AD47" t="s" s="250">
        <v>400</v>
      </c>
      <c r="AE47" s="252"/>
      <c r="AF47" s="8"/>
      <c r="AG47" s="8"/>
      <c r="AH47" s="8"/>
      <c r="AI47" s="8"/>
      <c r="AJ47" s="8"/>
      <c r="AK47" s="8"/>
      <c r="AL47" s="8"/>
      <c r="AM47" s="8"/>
      <c r="AN47" s="8"/>
      <c r="AO47" s="8"/>
      <c r="AP47" s="8"/>
      <c r="AQ47" s="8"/>
      <c r="AR47" s="8"/>
      <c r="AS47" s="8"/>
      <c r="AT47" s="8"/>
      <c r="AU47" s="8"/>
      <c r="AV47" s="8"/>
      <c r="AW47" s="8"/>
      <c r="AX47" s="8"/>
      <c r="AY47" s="8"/>
    </row>
    <row r="48" ht="17.45" customHeight="1">
      <c r="A48" t="s" s="257">
        <v>1170</v>
      </c>
      <c r="B48" t="s" s="250">
        <v>1171</v>
      </c>
      <c r="C48" s="251"/>
      <c r="D48" t="s" s="250">
        <v>1082</v>
      </c>
      <c r="E48" t="s" s="250">
        <v>1134</v>
      </c>
      <c r="F48" t="s" s="250">
        <v>1172</v>
      </c>
      <c r="G48" s="251"/>
      <c r="H48" s="253">
        <v>1</v>
      </c>
      <c r="I48" s="251"/>
      <c r="J48" s="251"/>
      <c r="K48" s="253">
        <v>1</v>
      </c>
      <c r="L48" s="251"/>
      <c r="M48" s="251"/>
      <c r="N48" s="251"/>
      <c r="O48" s="251"/>
      <c r="P48" s="251"/>
      <c r="Q48" s="255">
        <v>43</v>
      </c>
      <c r="R48" s="253">
        <v>1</v>
      </c>
      <c r="S48" s="253">
        <v>1</v>
      </c>
      <c r="T48" s="251"/>
      <c r="U48" s="251"/>
      <c r="V48" s="251"/>
      <c r="W48" s="251"/>
      <c r="X48" t="s" s="250">
        <v>265</v>
      </c>
      <c r="Y48" s="251"/>
      <c r="Z48" s="253">
        <v>1</v>
      </c>
      <c r="AA48" s="253">
        <v>1</v>
      </c>
      <c r="AB48" s="251"/>
      <c r="AC48" s="253">
        <v>1</v>
      </c>
      <c r="AD48" s="251"/>
      <c r="AE48" s="252"/>
      <c r="AF48" s="8"/>
      <c r="AG48" s="8"/>
      <c r="AH48" s="8"/>
      <c r="AI48" s="8"/>
      <c r="AJ48" s="8"/>
      <c r="AK48" s="8"/>
      <c r="AL48" s="8"/>
      <c r="AM48" s="8"/>
      <c r="AN48" s="8"/>
      <c r="AO48" s="8"/>
      <c r="AP48" s="8"/>
      <c r="AQ48" s="8"/>
      <c r="AR48" s="8"/>
      <c r="AS48" s="8"/>
      <c r="AT48" s="8"/>
      <c r="AU48" s="8"/>
      <c r="AV48" s="8"/>
      <c r="AW48" s="8"/>
      <c r="AX48" s="8"/>
      <c r="AY48" s="8"/>
    </row>
    <row r="49" ht="17.45" customHeight="1">
      <c r="A49" t="s" s="258">
        <v>1170</v>
      </c>
      <c r="B49" t="s" s="250">
        <v>1171</v>
      </c>
      <c r="C49" s="251"/>
      <c r="D49" t="s" s="250">
        <v>1082</v>
      </c>
      <c r="E49" t="s" s="250">
        <v>1134</v>
      </c>
      <c r="F49" t="s" s="250">
        <v>1173</v>
      </c>
      <c r="G49" s="253">
        <v>1</v>
      </c>
      <c r="H49" s="251"/>
      <c r="I49" s="251"/>
      <c r="J49" s="251"/>
      <c r="K49" s="251"/>
      <c r="L49" s="253">
        <v>1</v>
      </c>
      <c r="M49" s="251"/>
      <c r="N49" s="251"/>
      <c r="O49" s="251"/>
      <c r="P49" s="251"/>
      <c r="Q49" s="255">
        <v>47</v>
      </c>
      <c r="R49" s="251"/>
      <c r="S49" s="253">
        <v>1</v>
      </c>
      <c r="T49" s="251"/>
      <c r="U49" s="251"/>
      <c r="V49" s="251"/>
      <c r="W49" s="251"/>
      <c r="X49" s="251"/>
      <c r="Y49" s="251"/>
      <c r="Z49" s="251"/>
      <c r="AA49" s="251"/>
      <c r="AB49" s="251"/>
      <c r="AC49" s="251"/>
      <c r="AD49" t="s" s="250">
        <v>1174</v>
      </c>
      <c r="AE49" s="252"/>
      <c r="AF49" s="8"/>
      <c r="AG49" s="8"/>
      <c r="AH49" s="8"/>
      <c r="AI49" s="8"/>
      <c r="AJ49" s="8"/>
      <c r="AK49" s="8"/>
      <c r="AL49" s="8"/>
      <c r="AM49" s="8"/>
      <c r="AN49" s="8"/>
      <c r="AO49" s="8"/>
      <c r="AP49" s="8"/>
      <c r="AQ49" s="8"/>
      <c r="AR49" s="8"/>
      <c r="AS49" s="8"/>
      <c r="AT49" s="8"/>
      <c r="AU49" s="8"/>
      <c r="AV49" s="8"/>
      <c r="AW49" s="8"/>
      <c r="AX49" s="8"/>
      <c r="AY49" s="8"/>
    </row>
    <row r="50" ht="17.45" customHeight="1">
      <c r="A50" t="s" s="258">
        <v>1170</v>
      </c>
      <c r="B50" t="s" s="250">
        <v>1171</v>
      </c>
      <c r="C50" s="251"/>
      <c r="D50" t="s" s="250">
        <v>1082</v>
      </c>
      <c r="E50" t="s" s="250">
        <v>1134</v>
      </c>
      <c r="F50" t="s" s="250">
        <v>534</v>
      </c>
      <c r="G50" s="251"/>
      <c r="H50" s="253">
        <v>1</v>
      </c>
      <c r="I50" s="251"/>
      <c r="J50" s="251"/>
      <c r="K50" s="251"/>
      <c r="L50" s="251"/>
      <c r="M50" s="251"/>
      <c r="N50" s="251"/>
      <c r="O50" t="s" s="250">
        <v>1175</v>
      </c>
      <c r="P50" s="251"/>
      <c r="Q50" s="255">
        <v>75</v>
      </c>
      <c r="R50" s="251"/>
      <c r="S50" s="251"/>
      <c r="T50" s="253">
        <v>1</v>
      </c>
      <c r="U50" s="251"/>
      <c r="V50" s="251"/>
      <c r="W50" s="251"/>
      <c r="X50" t="s" s="250">
        <v>1176</v>
      </c>
      <c r="Y50" s="251"/>
      <c r="Z50" s="253">
        <v>1</v>
      </c>
      <c r="AA50" s="251"/>
      <c r="AB50" s="253">
        <v>1</v>
      </c>
      <c r="AC50" s="253">
        <v>1</v>
      </c>
      <c r="AD50" s="251"/>
      <c r="AE50" s="252"/>
      <c r="AF50" s="8"/>
      <c r="AG50" s="8"/>
      <c r="AH50" s="8"/>
      <c r="AI50" s="8"/>
      <c r="AJ50" s="8"/>
      <c r="AK50" s="8"/>
      <c r="AL50" s="8"/>
      <c r="AM50" s="8"/>
      <c r="AN50" s="8"/>
      <c r="AO50" s="8"/>
      <c r="AP50" s="8"/>
      <c r="AQ50" s="8"/>
      <c r="AR50" s="8"/>
      <c r="AS50" s="8"/>
      <c r="AT50" s="8"/>
      <c r="AU50" s="8"/>
      <c r="AV50" s="8"/>
      <c r="AW50" s="8"/>
      <c r="AX50" s="8"/>
      <c r="AY50" s="8"/>
    </row>
    <row r="51" ht="17.45" customHeight="1">
      <c r="A51" t="s" s="258">
        <v>1170</v>
      </c>
      <c r="B51" t="s" s="250">
        <v>1171</v>
      </c>
      <c r="C51" s="251"/>
      <c r="D51" t="s" s="250">
        <v>1082</v>
      </c>
      <c r="E51" t="s" s="250">
        <v>1134</v>
      </c>
      <c r="F51" t="s" s="250">
        <v>1177</v>
      </c>
      <c r="G51" s="251"/>
      <c r="H51" s="253">
        <v>1</v>
      </c>
      <c r="I51" s="251"/>
      <c r="J51" s="251"/>
      <c r="K51" s="251"/>
      <c r="L51" s="251"/>
      <c r="M51" s="251"/>
      <c r="N51" s="253">
        <v>1</v>
      </c>
      <c r="O51" s="251"/>
      <c r="P51" s="251"/>
      <c r="Q51" s="255">
        <v>20</v>
      </c>
      <c r="R51" s="251"/>
      <c r="S51" s="253">
        <v>1</v>
      </c>
      <c r="T51" s="251"/>
      <c r="U51" s="251"/>
      <c r="V51" s="251"/>
      <c r="W51" s="251"/>
      <c r="X51" t="s" s="250">
        <v>1178</v>
      </c>
      <c r="Y51" s="251"/>
      <c r="Z51" s="253">
        <v>1</v>
      </c>
      <c r="AA51" s="251"/>
      <c r="AB51" s="251"/>
      <c r="AC51" s="253">
        <v>1</v>
      </c>
      <c r="AD51" s="251"/>
      <c r="AE51" s="252"/>
      <c r="AF51" s="8"/>
      <c r="AG51" s="8"/>
      <c r="AH51" s="8"/>
      <c r="AI51" s="8"/>
      <c r="AJ51" s="8"/>
      <c r="AK51" s="8"/>
      <c r="AL51" s="8"/>
      <c r="AM51" s="8"/>
      <c r="AN51" s="8"/>
      <c r="AO51" s="8"/>
      <c r="AP51" s="8"/>
      <c r="AQ51" s="8"/>
      <c r="AR51" s="8"/>
      <c r="AS51" s="8"/>
      <c r="AT51" s="8"/>
      <c r="AU51" s="8"/>
      <c r="AV51" s="8"/>
      <c r="AW51" s="8"/>
      <c r="AX51" s="8"/>
      <c r="AY51" s="8"/>
    </row>
    <row r="52" ht="17.45" customHeight="1">
      <c r="A52" t="s" s="258">
        <v>1170</v>
      </c>
      <c r="B52" t="s" s="250">
        <v>1171</v>
      </c>
      <c r="C52" s="251"/>
      <c r="D52" t="s" s="250">
        <v>1082</v>
      </c>
      <c r="E52" t="s" s="250">
        <v>1134</v>
      </c>
      <c r="F52" t="s" s="250">
        <v>1179</v>
      </c>
      <c r="G52" s="251"/>
      <c r="H52" s="251"/>
      <c r="I52" s="253">
        <v>1</v>
      </c>
      <c r="J52" s="251"/>
      <c r="K52" s="251"/>
      <c r="L52" s="251"/>
      <c r="M52" s="253">
        <v>1</v>
      </c>
      <c r="N52" s="251"/>
      <c r="O52" s="251"/>
      <c r="P52" s="251"/>
      <c r="Q52" s="255">
        <v>14</v>
      </c>
      <c r="R52" s="251"/>
      <c r="S52" s="251"/>
      <c r="T52" s="251"/>
      <c r="U52" s="251"/>
      <c r="V52" s="251"/>
      <c r="W52" s="251"/>
      <c r="X52" t="s" s="250">
        <v>1105</v>
      </c>
      <c r="Y52" s="251"/>
      <c r="Z52" s="251"/>
      <c r="AA52" s="251"/>
      <c r="AB52" s="251"/>
      <c r="AC52" s="253">
        <v>1</v>
      </c>
      <c r="AD52" s="251"/>
      <c r="AE52" s="252"/>
      <c r="AF52" s="8"/>
      <c r="AG52" s="8"/>
      <c r="AH52" s="8"/>
      <c r="AI52" s="8"/>
      <c r="AJ52" s="8"/>
      <c r="AK52" s="8"/>
      <c r="AL52" s="8"/>
      <c r="AM52" s="8"/>
      <c r="AN52" s="8"/>
      <c r="AO52" s="8"/>
      <c r="AP52" s="8"/>
      <c r="AQ52" s="8"/>
      <c r="AR52" s="8"/>
      <c r="AS52" s="8"/>
      <c r="AT52" s="8"/>
      <c r="AU52" s="8"/>
      <c r="AV52" s="8"/>
      <c r="AW52" s="8"/>
      <c r="AX52" s="8"/>
      <c r="AY52" s="8"/>
    </row>
    <row r="53" ht="17.45" customHeight="1">
      <c r="A53" t="s" s="258">
        <v>1170</v>
      </c>
      <c r="B53" t="s" s="250">
        <v>1171</v>
      </c>
      <c r="C53" s="251"/>
      <c r="D53" t="s" s="250">
        <v>1082</v>
      </c>
      <c r="E53" t="s" s="250">
        <v>1180</v>
      </c>
      <c r="F53" t="s" s="250">
        <v>1181</v>
      </c>
      <c r="G53" s="251"/>
      <c r="H53" s="251"/>
      <c r="I53" s="253">
        <v>1</v>
      </c>
      <c r="J53" s="251"/>
      <c r="K53" s="251"/>
      <c r="L53" s="251"/>
      <c r="M53" s="251"/>
      <c r="N53" s="251"/>
      <c r="O53" t="s" s="250">
        <v>441</v>
      </c>
      <c r="P53" s="251"/>
      <c r="Q53" s="255">
        <v>12</v>
      </c>
      <c r="R53" s="251"/>
      <c r="S53" s="251"/>
      <c r="T53" s="251"/>
      <c r="U53" s="251"/>
      <c r="V53" s="251"/>
      <c r="W53" s="251"/>
      <c r="X53" t="s" s="250">
        <v>1105</v>
      </c>
      <c r="Y53" s="251"/>
      <c r="Z53" s="253">
        <v>1</v>
      </c>
      <c r="AA53" s="251"/>
      <c r="AB53" s="253">
        <v>1</v>
      </c>
      <c r="AC53" s="253">
        <v>1</v>
      </c>
      <c r="AD53" s="251"/>
      <c r="AE53" s="252"/>
      <c r="AF53" s="8"/>
      <c r="AG53" s="8"/>
      <c r="AH53" s="8"/>
      <c r="AI53" s="8"/>
      <c r="AJ53" s="8"/>
      <c r="AK53" s="8"/>
      <c r="AL53" s="8"/>
      <c r="AM53" s="8"/>
      <c r="AN53" s="8"/>
      <c r="AO53" s="8"/>
      <c r="AP53" s="8"/>
      <c r="AQ53" s="8"/>
      <c r="AR53" s="8"/>
      <c r="AS53" s="8"/>
      <c r="AT53" s="8"/>
      <c r="AU53" s="8"/>
      <c r="AV53" s="8"/>
      <c r="AW53" s="8"/>
      <c r="AX53" s="8"/>
      <c r="AY53" s="8"/>
    </row>
    <row r="54" ht="17.45" customHeight="1">
      <c r="A54" t="s" s="258">
        <v>1170</v>
      </c>
      <c r="B54" t="s" s="250">
        <v>1171</v>
      </c>
      <c r="C54" s="251"/>
      <c r="D54" t="s" s="250">
        <v>1082</v>
      </c>
      <c r="E54" t="s" s="250">
        <v>1182</v>
      </c>
      <c r="F54" t="s" s="250">
        <v>248</v>
      </c>
      <c r="G54" s="253">
        <v>1</v>
      </c>
      <c r="H54" s="251"/>
      <c r="I54" s="251"/>
      <c r="J54" s="251"/>
      <c r="K54" s="251"/>
      <c r="L54" s="251"/>
      <c r="M54" s="251"/>
      <c r="N54" s="251"/>
      <c r="O54" s="251"/>
      <c r="P54" s="253">
        <v>1</v>
      </c>
      <c r="Q54" s="255">
        <v>33</v>
      </c>
      <c r="R54" s="251"/>
      <c r="S54" s="253">
        <v>1</v>
      </c>
      <c r="T54" s="251"/>
      <c r="U54" s="251"/>
      <c r="V54" s="251"/>
      <c r="W54" s="251"/>
      <c r="X54" t="s" s="250">
        <v>191</v>
      </c>
      <c r="Y54" s="251"/>
      <c r="Z54" s="253">
        <v>1</v>
      </c>
      <c r="AA54" s="251"/>
      <c r="AB54" s="253">
        <v>1</v>
      </c>
      <c r="AC54" s="251"/>
      <c r="AD54" t="s" s="250">
        <v>1183</v>
      </c>
      <c r="AE54" s="252"/>
      <c r="AF54" s="8"/>
      <c r="AG54" s="8"/>
      <c r="AH54" s="8"/>
      <c r="AI54" s="8"/>
      <c r="AJ54" s="8"/>
      <c r="AK54" s="8"/>
      <c r="AL54" s="8"/>
      <c r="AM54" s="8"/>
      <c r="AN54" s="8"/>
      <c r="AO54" s="8"/>
      <c r="AP54" s="8"/>
      <c r="AQ54" s="8"/>
      <c r="AR54" s="8"/>
      <c r="AS54" s="8"/>
      <c r="AT54" s="8"/>
      <c r="AU54" s="8"/>
      <c r="AV54" s="8"/>
      <c r="AW54" s="8"/>
      <c r="AX54" s="8"/>
      <c r="AY54" s="8"/>
    </row>
    <row r="55" ht="17.45" customHeight="1">
      <c r="A55" t="s" s="259">
        <v>1170</v>
      </c>
      <c r="B55" t="s" s="250">
        <v>1171</v>
      </c>
      <c r="C55" s="251"/>
      <c r="D55" t="s" s="250">
        <v>1082</v>
      </c>
      <c r="E55" t="s" s="250">
        <v>1184</v>
      </c>
      <c r="F55" t="s" s="250">
        <v>1185</v>
      </c>
      <c r="G55" s="253">
        <v>1</v>
      </c>
      <c r="H55" s="251"/>
      <c r="I55" s="251"/>
      <c r="J55" s="251"/>
      <c r="K55" s="251"/>
      <c r="L55" s="251"/>
      <c r="M55" s="251"/>
      <c r="N55" s="251"/>
      <c r="O55" s="251"/>
      <c r="P55" s="253">
        <v>1</v>
      </c>
      <c r="Q55" s="255">
        <v>32</v>
      </c>
      <c r="R55" s="251"/>
      <c r="S55" s="253">
        <v>1</v>
      </c>
      <c r="T55" s="251"/>
      <c r="U55" s="251"/>
      <c r="V55" s="251"/>
      <c r="W55" s="251"/>
      <c r="X55" t="s" s="250">
        <v>194</v>
      </c>
      <c r="Y55" s="251"/>
      <c r="Z55" s="253">
        <v>1</v>
      </c>
      <c r="AA55" s="251"/>
      <c r="AB55" s="253">
        <v>1</v>
      </c>
      <c r="AC55" s="251"/>
      <c r="AD55" t="s" s="250">
        <v>591</v>
      </c>
      <c r="AE55" s="252"/>
      <c r="AF55" s="8"/>
      <c r="AG55" s="8"/>
      <c r="AH55" s="8"/>
      <c r="AI55" s="8"/>
      <c r="AJ55" s="8"/>
      <c r="AK55" s="8"/>
      <c r="AL55" s="8"/>
      <c r="AM55" s="8"/>
      <c r="AN55" s="8"/>
      <c r="AO55" s="8"/>
      <c r="AP55" s="8"/>
      <c r="AQ55" s="8"/>
      <c r="AR55" s="8"/>
      <c r="AS55" s="8"/>
      <c r="AT55" s="8"/>
      <c r="AU55" s="8"/>
      <c r="AV55" s="8"/>
      <c r="AW55" s="8"/>
      <c r="AX55" s="8"/>
      <c r="AY55" s="8"/>
    </row>
    <row r="56" ht="17.45" customHeight="1">
      <c r="A56" t="s" s="250">
        <v>1170</v>
      </c>
      <c r="B56" t="s" s="250">
        <v>1171</v>
      </c>
      <c r="C56" s="251"/>
      <c r="D56" t="s" s="250">
        <v>1082</v>
      </c>
      <c r="E56" t="s" s="250">
        <v>1167</v>
      </c>
      <c r="F56" t="s" s="250">
        <v>1186</v>
      </c>
      <c r="G56" s="253">
        <v>1</v>
      </c>
      <c r="H56" s="251"/>
      <c r="I56" s="251"/>
      <c r="J56" s="251"/>
      <c r="K56" s="251"/>
      <c r="L56" s="251"/>
      <c r="M56" s="251"/>
      <c r="N56" s="251"/>
      <c r="O56" s="251"/>
      <c r="P56" s="253">
        <v>1</v>
      </c>
      <c r="Q56" s="255">
        <v>22</v>
      </c>
      <c r="R56" s="251"/>
      <c r="S56" s="253">
        <v>1</v>
      </c>
      <c r="T56" s="251"/>
      <c r="U56" s="251"/>
      <c r="V56" s="251"/>
      <c r="W56" s="251"/>
      <c r="X56" t="s" s="250">
        <v>194</v>
      </c>
      <c r="Y56" s="251"/>
      <c r="Z56" s="253">
        <v>1</v>
      </c>
      <c r="AA56" s="251"/>
      <c r="AB56" s="251"/>
      <c r="AC56" s="251"/>
      <c r="AD56" t="s" s="250">
        <v>601</v>
      </c>
      <c r="AE56" s="252"/>
      <c r="AF56" s="8"/>
      <c r="AG56" s="8"/>
      <c r="AH56" s="8"/>
      <c r="AI56" s="8"/>
      <c r="AJ56" s="8"/>
      <c r="AK56" s="8"/>
      <c r="AL56" s="8"/>
      <c r="AM56" s="8"/>
      <c r="AN56" s="8"/>
      <c r="AO56" s="8"/>
      <c r="AP56" s="8"/>
      <c r="AQ56" s="8"/>
      <c r="AR56" s="8"/>
      <c r="AS56" s="8"/>
      <c r="AT56" s="8"/>
      <c r="AU56" s="8"/>
      <c r="AV56" s="8"/>
      <c r="AW56" s="8"/>
      <c r="AX56" s="8"/>
      <c r="AY56" s="8"/>
    </row>
    <row r="57" ht="17" customHeight="1">
      <c r="A57" t="s" s="260">
        <v>285</v>
      </c>
      <c r="B57" s="261">
        <v>8</v>
      </c>
      <c r="C57" s="262"/>
      <c r="D57" s="262"/>
      <c r="E57" s="261">
        <v>38</v>
      </c>
      <c r="F57" s="261">
        <v>54</v>
      </c>
      <c r="G57" s="261">
        <f>SUM(G3:G56)</f>
        <v>33</v>
      </c>
      <c r="H57" s="261">
        <f>SUM(H3:H56)</f>
        <v>12</v>
      </c>
      <c r="I57" s="261">
        <f>SUM(I3:I56)</f>
        <v>6</v>
      </c>
      <c r="J57" s="261">
        <f>SUM(J3:J56)</f>
        <v>3</v>
      </c>
      <c r="K57" s="261">
        <f>SUM(K3:K56)</f>
        <v>6</v>
      </c>
      <c r="L57" s="261">
        <f>SUM(L3:L56)</f>
        <v>5</v>
      </c>
      <c r="M57" s="261">
        <f>SUM(M3:M56)</f>
        <v>5</v>
      </c>
      <c r="N57" s="261">
        <f>SUM(N3:N56)</f>
        <v>6</v>
      </c>
      <c r="O57" s="261">
        <v>2</v>
      </c>
      <c r="P57" s="261">
        <f>SUM(P3:P56)</f>
        <v>30</v>
      </c>
      <c r="Q57" s="261">
        <f>SUM(Q3:Q56)</f>
        <v>1529</v>
      </c>
      <c r="R57" s="261">
        <f>SUM(R3:R56)</f>
        <v>10</v>
      </c>
      <c r="S57" s="261">
        <f>SUM(S3:S56)</f>
        <v>35</v>
      </c>
      <c r="T57" s="261">
        <f>SUM(T3:T56)</f>
        <v>2</v>
      </c>
      <c r="U57" s="261">
        <f>SUM(U3:U56)</f>
        <v>41</v>
      </c>
      <c r="V57" s="261">
        <f>SUM(V3:V56)</f>
        <v>8</v>
      </c>
      <c r="W57" s="261">
        <f>SUM(W3:W56)</f>
        <v>8</v>
      </c>
      <c r="X57" s="261">
        <f>SUM(X3:X56)</f>
        <v>0</v>
      </c>
      <c r="Y57" s="261">
        <f>SUM(Y3:Y56)</f>
        <v>0</v>
      </c>
      <c r="Z57" s="261">
        <f>SUM(Z3:Z56)</f>
        <v>41</v>
      </c>
      <c r="AA57" s="261">
        <f>SUM(AA3:AA56)</f>
        <v>7</v>
      </c>
      <c r="AB57" s="261">
        <f>SUM(AB3:AB56)</f>
        <v>5</v>
      </c>
      <c r="AC57" s="261">
        <f>SUM(AC3:AC56)</f>
        <v>27</v>
      </c>
      <c r="AD57" s="261">
        <f>F57-AC57</f>
        <v>27</v>
      </c>
      <c r="AE57" s="8"/>
      <c r="AF57" s="8"/>
      <c r="AG57" s="8"/>
      <c r="AH57" s="8"/>
      <c r="AI57" s="8"/>
      <c r="AJ57" s="8"/>
      <c r="AK57" s="8"/>
      <c r="AL57" s="8"/>
      <c r="AM57" s="8"/>
      <c r="AN57" s="8"/>
      <c r="AO57" s="8"/>
      <c r="AP57" s="8"/>
      <c r="AQ57" s="8"/>
      <c r="AR57" s="8"/>
      <c r="AS57" s="8"/>
      <c r="AT57" s="8"/>
      <c r="AU57" s="8"/>
      <c r="AV57" s="8"/>
      <c r="AW57" s="8"/>
      <c r="AX57" s="8"/>
      <c r="AY57" s="8"/>
    </row>
    <row r="58" ht="17" customHeight="1">
      <c r="A58" s="8"/>
      <c r="B58" s="8"/>
      <c r="C58" s="8"/>
      <c r="D58" s="8"/>
      <c r="E58" s="8"/>
      <c r="F58" s="8"/>
      <c r="G58" s="8"/>
      <c r="H58" s="8"/>
      <c r="I58" s="8"/>
      <c r="J58" s="8"/>
      <c r="K58" s="8"/>
      <c r="L58" s="8"/>
      <c r="M58" s="8"/>
      <c r="N58" s="8"/>
      <c r="O58" s="8"/>
      <c r="P58" s="8"/>
      <c r="Q58" s="144">
        <f>Q57/F57</f>
        <v>28.3148148148148</v>
      </c>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row>
    <row r="59" ht="17"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row>
    <row r="60" ht="17"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row>
    <row r="61" ht="17"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row>
    <row r="62" ht="17"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row>
    <row r="63" ht="17"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row>
    <row r="64" ht="17"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row>
    <row r="65" ht="17"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row>
    <row r="66" ht="17"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row>
    <row r="67" ht="17"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row>
    <row r="68" ht="17"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row>
    <row r="69" ht="17"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row>
    <row r="70" ht="17"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row>
    <row r="71" ht="17"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row>
    <row r="72" ht="17"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row>
    <row r="73" ht="17"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row>
    <row r="74" ht="17"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row>
    <row r="75" ht="17"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row>
    <row r="76" ht="17"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row>
    <row r="77" ht="17"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row>
    <row r="78" ht="17"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row>
    <row r="79" ht="17"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row>
    <row r="80" ht="17"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row>
    <row r="81" ht="17"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row>
    <row r="82" ht="17"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row>
    <row r="83" ht="17"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row>
    <row r="84" ht="17"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row>
    <row r="85" ht="17"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row>
    <row r="86" ht="17"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row>
    <row r="87" ht="17" customHeight="1">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243"/>
      <c r="AA87" s="243"/>
      <c r="AB87" s="243"/>
      <c r="AC87" s="243"/>
      <c r="AD87" s="243"/>
      <c r="AE87" s="8"/>
      <c r="AF87" s="8"/>
      <c r="AG87" s="8"/>
      <c r="AH87" s="8"/>
      <c r="AI87" s="8"/>
      <c r="AJ87" s="8"/>
      <c r="AK87" s="8"/>
      <c r="AL87" s="8"/>
      <c r="AM87" s="8"/>
      <c r="AN87" s="8"/>
      <c r="AO87" s="8"/>
      <c r="AP87" s="8"/>
      <c r="AQ87" s="8"/>
      <c r="AR87" s="8"/>
      <c r="AS87" s="8"/>
      <c r="AT87" s="8"/>
      <c r="AU87" s="8"/>
      <c r="AV87" s="8"/>
      <c r="AW87" s="8"/>
      <c r="AX87" s="8"/>
      <c r="AY87" s="8"/>
    </row>
    <row r="88" ht="17" customHeight="1">
      <c r="A88" t="s" s="250">
        <v>285</v>
      </c>
      <c r="B88" s="251"/>
      <c r="C88" s="251"/>
      <c r="D88" s="251"/>
      <c r="E88" s="253">
        <v>38</v>
      </c>
      <c r="F88" s="253">
        <v>54</v>
      </c>
      <c r="G88" s="253">
        <f>SUM(G3:G56)</f>
        <v>33</v>
      </c>
      <c r="H88" s="253">
        <f>SUM(H3:H56)</f>
        <v>12</v>
      </c>
      <c r="I88" s="253">
        <f>SUM(I3:I56)</f>
        <v>6</v>
      </c>
      <c r="J88" s="253">
        <f>SUM(J3:J56)</f>
        <v>3</v>
      </c>
      <c r="K88" s="253">
        <f>SUM(K3:K56)</f>
        <v>6</v>
      </c>
      <c r="L88" s="253">
        <f>SUM(L3:L56)</f>
        <v>5</v>
      </c>
      <c r="M88" s="253">
        <f>SUM(M3:M56)</f>
        <v>5</v>
      </c>
      <c r="N88" s="253">
        <f>SUM(N3:N56)</f>
        <v>6</v>
      </c>
      <c r="O88" s="253">
        <v>2</v>
      </c>
      <c r="P88" s="253">
        <f>SUM(P3:P56)</f>
        <v>30</v>
      </c>
      <c r="Q88" s="253">
        <f>SUM(Q3:Q56)</f>
        <v>1529</v>
      </c>
      <c r="R88" s="253">
        <f>SUM(R3:R56)</f>
        <v>10</v>
      </c>
      <c r="S88" s="253">
        <f>SUM(S3:S56)</f>
        <v>35</v>
      </c>
      <c r="T88" s="253">
        <f>SUM(T3:T56)</f>
        <v>2</v>
      </c>
      <c r="U88" s="253">
        <f>SUM(U3:U56)</f>
        <v>41</v>
      </c>
      <c r="V88" s="253">
        <f>SUM(V3:V56)</f>
        <v>8</v>
      </c>
      <c r="W88" s="253">
        <f>SUM(W3:W56)</f>
        <v>8</v>
      </c>
      <c r="X88" s="253">
        <f>SUM(X3:X56)</f>
        <v>0</v>
      </c>
      <c r="Y88" s="253">
        <f>SUM(Y3:Y56)</f>
        <v>0</v>
      </c>
      <c r="Z88" s="253">
        <f>SUM(Z3:Z56)</f>
        <v>41</v>
      </c>
      <c r="AA88" s="253">
        <f>SUM(AA3:AA56)</f>
        <v>7</v>
      </c>
      <c r="AB88" s="253">
        <f>SUM(AB3:AB56)</f>
        <v>5</v>
      </c>
      <c r="AC88" s="253">
        <f>SUM(AC3:AC56)</f>
        <v>27</v>
      </c>
      <c r="AD88" s="253">
        <v>31</v>
      </c>
      <c r="AE88" s="252"/>
      <c r="AF88" s="8"/>
      <c r="AG88" s="8"/>
      <c r="AH88" s="8"/>
      <c r="AI88" s="8"/>
      <c r="AJ88" s="8"/>
      <c r="AK88" s="8"/>
      <c r="AL88" s="8"/>
      <c r="AM88" s="8"/>
      <c r="AN88" s="8"/>
      <c r="AO88" s="8"/>
      <c r="AP88" s="8"/>
      <c r="AQ88" s="8"/>
      <c r="AR88" s="8"/>
      <c r="AS88" s="8"/>
      <c r="AT88" s="8"/>
      <c r="AU88" s="8"/>
      <c r="AV88" s="8"/>
      <c r="AW88" s="8"/>
      <c r="AX88" s="8"/>
      <c r="AY88" s="8"/>
    </row>
    <row r="89" ht="17.45" customHeight="1">
      <c r="A89" s="251"/>
      <c r="B89" s="251"/>
      <c r="C89" s="251"/>
      <c r="D89" s="251"/>
      <c r="E89" s="251"/>
      <c r="F89" s="251"/>
      <c r="G89" s="253">
        <f>G88+H88+I88+J88</f>
        <v>54</v>
      </c>
      <c r="H89" s="251"/>
      <c r="I89" s="251"/>
      <c r="J89" s="251"/>
      <c r="K89" s="253">
        <f>K88+L88+M88+N88+P88+O88</f>
        <v>54</v>
      </c>
      <c r="L89" s="251"/>
      <c r="M89" s="254"/>
      <c r="N89" s="254"/>
      <c r="O89" s="254"/>
      <c r="P89" s="254"/>
      <c r="Q89" s="263">
        <f>Q88/K89</f>
        <v>28.3148148148148</v>
      </c>
      <c r="R89" s="254"/>
      <c r="S89" s="254"/>
      <c r="T89" s="254"/>
      <c r="U89" s="251"/>
      <c r="V89" s="251"/>
      <c r="W89" s="251"/>
      <c r="X89" s="251"/>
      <c r="Y89" s="251"/>
      <c r="Z89" s="251"/>
      <c r="AA89" s="251"/>
      <c r="AB89" s="251"/>
      <c r="AC89" s="253">
        <f>F88-AC88</f>
        <v>27</v>
      </c>
      <c r="AD89" s="251"/>
      <c r="AE89" s="252"/>
      <c r="AF89" s="8"/>
      <c r="AG89" s="8"/>
      <c r="AH89" s="8"/>
      <c r="AI89" s="8"/>
      <c r="AJ89" s="8"/>
      <c r="AK89" s="8"/>
      <c r="AL89" s="8"/>
      <c r="AM89" s="8"/>
      <c r="AN89" s="8"/>
      <c r="AO89" s="8"/>
      <c r="AP89" s="8"/>
      <c r="AQ89" s="8"/>
      <c r="AR89" s="8"/>
      <c r="AS89" s="8"/>
      <c r="AT89" s="8"/>
      <c r="AU89" s="8"/>
      <c r="AV89" s="8"/>
      <c r="AW89" s="8"/>
      <c r="AX89" s="8"/>
      <c r="AY89"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AY45"/>
  <sheetViews>
    <sheetView workbookViewId="0" showGridLines="0" defaultGridColor="1"/>
  </sheetViews>
  <sheetFormatPr defaultColWidth="10.8333" defaultRowHeight="16" customHeight="1" outlineLevelRow="0" outlineLevelCol="0"/>
  <cols>
    <col min="1" max="25" width="10.8516" style="264" customWidth="1"/>
    <col min="26" max="26" width="12.8516" style="264" customWidth="1"/>
    <col min="27" max="51" width="10.8516" style="264" customWidth="1"/>
    <col min="52" max="16384" width="10.8516" style="264" customWidth="1"/>
  </cols>
  <sheetData>
    <row r="1" ht="47" customHeight="1">
      <c r="A1" t="s" s="123">
        <v>6</v>
      </c>
      <c r="B1" t="s" s="123">
        <v>7</v>
      </c>
      <c r="C1" t="s" s="7">
        <v>8</v>
      </c>
      <c r="D1" t="s" s="14">
        <v>9</v>
      </c>
      <c r="E1" t="s" s="7">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240">
        <v>119</v>
      </c>
      <c r="B2" t="s" s="241">
        <v>120</v>
      </c>
      <c r="C2" s="242"/>
      <c r="D2" s="90"/>
      <c r="E2" s="243"/>
      <c r="F2" s="90"/>
      <c r="G2" t="s" s="91">
        <v>24</v>
      </c>
      <c r="H2" t="s" s="91">
        <v>25</v>
      </c>
      <c r="I2" t="s" s="91">
        <v>26</v>
      </c>
      <c r="J2" t="s" s="244">
        <v>27</v>
      </c>
      <c r="K2" t="s" s="245">
        <v>28</v>
      </c>
      <c r="L2" t="s" s="246">
        <v>29</v>
      </c>
      <c r="M2" t="s" s="91">
        <v>30</v>
      </c>
      <c r="N2" t="s" s="91">
        <v>31</v>
      </c>
      <c r="O2" t="s" s="91">
        <v>32</v>
      </c>
      <c r="P2" t="s" s="244">
        <v>33</v>
      </c>
      <c r="Q2" t="s" s="247">
        <v>121</v>
      </c>
      <c r="R2" t="s" s="245">
        <v>122</v>
      </c>
      <c r="S2" t="s" s="245">
        <v>123</v>
      </c>
      <c r="T2" t="s" s="248">
        <v>124</v>
      </c>
      <c r="U2" s="90"/>
      <c r="V2" s="90"/>
      <c r="W2" s="90"/>
      <c r="X2" s="90"/>
      <c r="Y2" s="90"/>
      <c r="Z2" s="90"/>
      <c r="AA2" t="s" s="91">
        <v>35</v>
      </c>
      <c r="AB2" t="s" s="91">
        <v>125</v>
      </c>
      <c r="AC2" t="s" s="91">
        <v>37</v>
      </c>
      <c r="AD2" t="s" s="249">
        <v>32</v>
      </c>
      <c r="AE2" s="8"/>
      <c r="AF2" s="8"/>
      <c r="AG2" s="8"/>
      <c r="AH2" s="8"/>
      <c r="AI2" s="8"/>
      <c r="AJ2" s="8"/>
      <c r="AK2" s="8"/>
      <c r="AL2" s="8"/>
      <c r="AM2" s="8"/>
      <c r="AN2" s="8"/>
      <c r="AO2" s="8"/>
      <c r="AP2" s="8"/>
      <c r="AQ2" s="8"/>
      <c r="AR2" s="8"/>
      <c r="AS2" s="8"/>
      <c r="AT2" s="8"/>
      <c r="AU2" s="8"/>
      <c r="AV2" s="8"/>
      <c r="AW2" s="8"/>
      <c r="AX2" s="8"/>
      <c r="AY2" s="8"/>
    </row>
    <row r="3" ht="19" customHeight="1">
      <c r="A3" t="s" s="250">
        <v>1188</v>
      </c>
      <c r="B3" s="251"/>
      <c r="C3" s="251"/>
      <c r="D3" t="s" s="250">
        <v>1189</v>
      </c>
      <c r="E3" t="s" s="250">
        <v>1190</v>
      </c>
      <c r="F3" t="s" s="176">
        <v>1191</v>
      </c>
      <c r="G3" s="98"/>
      <c r="H3" s="97">
        <v>1</v>
      </c>
      <c r="I3" s="98"/>
      <c r="J3" s="98"/>
      <c r="K3" s="97">
        <v>1</v>
      </c>
      <c r="L3" s="98"/>
      <c r="M3" s="98"/>
      <c r="N3" s="98"/>
      <c r="O3" s="98"/>
      <c r="P3" s="98"/>
      <c r="Q3" s="97">
        <v>77</v>
      </c>
      <c r="R3" s="98"/>
      <c r="S3" s="98"/>
      <c r="T3" s="97">
        <v>1</v>
      </c>
      <c r="U3" s="98"/>
      <c r="V3" s="98"/>
      <c r="W3" s="98"/>
      <c r="X3" t="s" s="250">
        <v>1192</v>
      </c>
      <c r="Y3" s="251"/>
      <c r="Z3" s="98"/>
      <c r="AA3" s="251"/>
      <c r="AB3" s="98"/>
      <c r="AC3" s="97">
        <v>1</v>
      </c>
      <c r="AD3" s="98"/>
      <c r="AE3" s="252"/>
      <c r="AF3" s="8"/>
      <c r="AG3" s="8"/>
      <c r="AH3" s="8"/>
      <c r="AI3" s="8"/>
      <c r="AJ3" s="8"/>
      <c r="AK3" s="8"/>
      <c r="AL3" s="8"/>
      <c r="AM3" s="8"/>
      <c r="AN3" s="8"/>
      <c r="AO3" s="8"/>
      <c r="AP3" s="8"/>
      <c r="AQ3" s="8"/>
      <c r="AR3" s="8"/>
      <c r="AS3" s="8"/>
      <c r="AT3" s="8"/>
      <c r="AU3" s="8"/>
      <c r="AV3" s="8"/>
      <c r="AW3" s="8"/>
      <c r="AX3" s="8"/>
      <c r="AY3" s="8"/>
    </row>
    <row r="4" ht="17.45" customHeight="1">
      <c r="A4" t="s" s="250">
        <v>1188</v>
      </c>
      <c r="B4" s="251"/>
      <c r="C4" s="251"/>
      <c r="D4" t="s" s="250">
        <v>1189</v>
      </c>
      <c r="E4" t="s" s="250">
        <v>1193</v>
      </c>
      <c r="F4" t="s" s="250">
        <v>1194</v>
      </c>
      <c r="G4" s="253">
        <v>1</v>
      </c>
      <c r="H4" s="251"/>
      <c r="I4" s="251"/>
      <c r="J4" s="251"/>
      <c r="K4" s="251"/>
      <c r="L4" s="251"/>
      <c r="M4" s="254"/>
      <c r="N4" s="254"/>
      <c r="O4" s="254"/>
      <c r="P4" s="255">
        <v>1</v>
      </c>
      <c r="Q4" s="253">
        <v>64</v>
      </c>
      <c r="R4" s="254"/>
      <c r="S4" s="254"/>
      <c r="T4" s="253">
        <v>1</v>
      </c>
      <c r="U4" s="251"/>
      <c r="V4" s="251"/>
      <c r="W4" s="251"/>
      <c r="X4" t="s" s="250">
        <v>159</v>
      </c>
      <c r="Y4" s="251"/>
      <c r="Z4" s="253">
        <v>1</v>
      </c>
      <c r="AA4" s="251"/>
      <c r="AB4" s="251"/>
      <c r="AC4" s="251"/>
      <c r="AD4" t="s" s="250">
        <v>591</v>
      </c>
      <c r="AE4" t="s" s="256">
        <v>1195</v>
      </c>
      <c r="AF4" s="8"/>
      <c r="AG4" s="8"/>
      <c r="AH4" s="8"/>
      <c r="AI4" s="8"/>
      <c r="AJ4" s="8"/>
      <c r="AK4" s="8"/>
      <c r="AL4" s="8"/>
      <c r="AM4" s="8"/>
      <c r="AN4" s="8"/>
      <c r="AO4" s="8"/>
      <c r="AP4" s="8"/>
      <c r="AQ4" s="8"/>
      <c r="AR4" s="8"/>
      <c r="AS4" s="8"/>
      <c r="AT4" s="8"/>
      <c r="AU4" s="8"/>
      <c r="AV4" s="8"/>
      <c r="AW4" s="8"/>
      <c r="AX4" s="8"/>
      <c r="AY4" s="8"/>
    </row>
    <row r="5" ht="17.45" customHeight="1">
      <c r="A5" t="s" s="250">
        <v>1188</v>
      </c>
      <c r="B5" s="251"/>
      <c r="C5" s="251"/>
      <c r="D5" t="s" s="250">
        <v>1189</v>
      </c>
      <c r="E5" t="s" s="250">
        <v>1196</v>
      </c>
      <c r="F5" t="s" s="250">
        <v>1197</v>
      </c>
      <c r="G5" s="253">
        <v>1</v>
      </c>
      <c r="H5" s="251"/>
      <c r="I5" s="251"/>
      <c r="J5" s="251"/>
      <c r="K5" s="251"/>
      <c r="L5" s="251"/>
      <c r="M5" s="254"/>
      <c r="N5" s="254"/>
      <c r="O5" s="254"/>
      <c r="P5" s="255">
        <v>1</v>
      </c>
      <c r="Q5" s="255">
        <v>30</v>
      </c>
      <c r="R5" s="254"/>
      <c r="S5" s="255">
        <v>1</v>
      </c>
      <c r="T5" s="254"/>
      <c r="U5" s="251"/>
      <c r="V5" s="251"/>
      <c r="W5" s="251"/>
      <c r="X5" t="s" s="250">
        <v>322</v>
      </c>
      <c r="Y5" s="251"/>
      <c r="Z5" s="253">
        <v>1</v>
      </c>
      <c r="AA5" s="251"/>
      <c r="AB5" s="251"/>
      <c r="AC5" s="253">
        <v>1</v>
      </c>
      <c r="AD5" s="251"/>
      <c r="AE5" s="252"/>
      <c r="AF5" s="8"/>
      <c r="AG5" s="8"/>
      <c r="AH5" s="8"/>
      <c r="AI5" s="8"/>
      <c r="AJ5" s="8"/>
      <c r="AK5" s="8"/>
      <c r="AL5" s="8"/>
      <c r="AM5" s="8"/>
      <c r="AN5" s="8"/>
      <c r="AO5" s="8"/>
      <c r="AP5" s="8"/>
      <c r="AQ5" s="8"/>
      <c r="AR5" s="8"/>
      <c r="AS5" s="8"/>
      <c r="AT5" s="8"/>
      <c r="AU5" s="8"/>
      <c r="AV5" s="8"/>
      <c r="AW5" s="8"/>
      <c r="AX5" s="8"/>
      <c r="AY5" s="8"/>
    </row>
    <row r="6" ht="17.45" customHeight="1">
      <c r="A6" t="s" s="250">
        <v>1188</v>
      </c>
      <c r="B6" s="251"/>
      <c r="C6" s="251"/>
      <c r="D6" t="s" s="250">
        <v>1189</v>
      </c>
      <c r="E6" t="s" s="250">
        <v>1198</v>
      </c>
      <c r="F6" t="s" s="250">
        <v>43</v>
      </c>
      <c r="G6" s="253">
        <v>1</v>
      </c>
      <c r="H6" s="251"/>
      <c r="I6" s="251"/>
      <c r="J6" s="251"/>
      <c r="K6" s="251"/>
      <c r="L6" s="251"/>
      <c r="M6" s="254"/>
      <c r="N6" s="254"/>
      <c r="O6" s="254"/>
      <c r="P6" s="255">
        <v>1</v>
      </c>
      <c r="Q6" s="255">
        <v>23</v>
      </c>
      <c r="R6" s="254"/>
      <c r="S6" s="255">
        <v>1</v>
      </c>
      <c r="T6" s="254"/>
      <c r="U6" s="251"/>
      <c r="V6" s="251"/>
      <c r="W6" s="251"/>
      <c r="X6" t="s" s="250">
        <v>178</v>
      </c>
      <c r="Y6" s="251"/>
      <c r="Z6" s="253">
        <v>1</v>
      </c>
      <c r="AA6" s="251"/>
      <c r="AB6" s="251"/>
      <c r="AC6" s="251"/>
      <c r="AD6" t="s" s="250">
        <v>240</v>
      </c>
      <c r="AE6" s="252"/>
      <c r="AF6" s="8"/>
      <c r="AG6" s="8"/>
      <c r="AH6" s="8"/>
      <c r="AI6" s="8"/>
      <c r="AJ6" s="8"/>
      <c r="AK6" s="8"/>
      <c r="AL6" s="8"/>
      <c r="AM6" s="8"/>
      <c r="AN6" s="8"/>
      <c r="AO6" s="8"/>
      <c r="AP6" s="8"/>
      <c r="AQ6" s="8"/>
      <c r="AR6" s="8"/>
      <c r="AS6" s="8"/>
      <c r="AT6" s="8"/>
      <c r="AU6" s="8"/>
      <c r="AV6" s="8"/>
      <c r="AW6" s="8"/>
      <c r="AX6" s="8"/>
      <c r="AY6" s="8"/>
    </row>
    <row r="7" ht="17.45" customHeight="1">
      <c r="A7" t="s" s="250">
        <v>1199</v>
      </c>
      <c r="B7" t="s" s="250">
        <v>1200</v>
      </c>
      <c r="C7" s="251"/>
      <c r="D7" t="s" s="250">
        <v>1189</v>
      </c>
      <c r="E7" t="s" s="250">
        <v>1201</v>
      </c>
      <c r="F7" t="s" s="250">
        <v>1202</v>
      </c>
      <c r="G7" s="251"/>
      <c r="H7" s="253">
        <v>1</v>
      </c>
      <c r="I7" s="251"/>
      <c r="J7" s="251"/>
      <c r="K7" s="253">
        <v>1</v>
      </c>
      <c r="L7" s="251"/>
      <c r="M7" s="254"/>
      <c r="N7" s="254"/>
      <c r="O7" s="254"/>
      <c r="P7" s="254"/>
      <c r="Q7" s="255">
        <v>52</v>
      </c>
      <c r="R7" s="255">
        <v>1</v>
      </c>
      <c r="S7" s="254"/>
      <c r="T7" s="254"/>
      <c r="U7" s="251"/>
      <c r="V7" s="251"/>
      <c r="W7" s="251"/>
      <c r="X7" t="s" s="250">
        <v>1203</v>
      </c>
      <c r="Y7" t="s" s="250">
        <v>1204</v>
      </c>
      <c r="Z7" s="253">
        <v>1</v>
      </c>
      <c r="AA7" s="251"/>
      <c r="AB7" s="251"/>
      <c r="AC7" s="251"/>
      <c r="AD7" t="s" s="250">
        <v>1205</v>
      </c>
      <c r="AE7" s="252"/>
      <c r="AF7" s="8"/>
      <c r="AG7" s="8"/>
      <c r="AH7" s="8"/>
      <c r="AI7" s="8"/>
      <c r="AJ7" s="8"/>
      <c r="AK7" s="8"/>
      <c r="AL7" s="8"/>
      <c r="AM7" s="8"/>
      <c r="AN7" s="8"/>
      <c r="AO7" s="8"/>
      <c r="AP7" s="8"/>
      <c r="AQ7" s="8"/>
      <c r="AR7" s="8"/>
      <c r="AS7" s="8"/>
      <c r="AT7" s="8"/>
      <c r="AU7" s="8"/>
      <c r="AV7" s="8"/>
      <c r="AW7" s="8"/>
      <c r="AX7" s="8"/>
      <c r="AY7" s="8"/>
    </row>
    <row r="8" ht="17.45" customHeight="1">
      <c r="A8" t="s" s="250">
        <v>1199</v>
      </c>
      <c r="B8" t="s" s="250">
        <v>1200</v>
      </c>
      <c r="C8" s="251"/>
      <c r="D8" t="s" s="250">
        <v>1189</v>
      </c>
      <c r="E8" t="s" s="250">
        <v>1201</v>
      </c>
      <c r="F8" t="s" s="250">
        <v>463</v>
      </c>
      <c r="G8" s="253">
        <v>1</v>
      </c>
      <c r="H8" s="251"/>
      <c r="I8" s="251"/>
      <c r="J8" s="251"/>
      <c r="K8" s="251"/>
      <c r="L8" s="253">
        <v>1</v>
      </c>
      <c r="M8" s="254"/>
      <c r="N8" s="254"/>
      <c r="O8" s="254"/>
      <c r="P8" s="254"/>
      <c r="Q8" s="255">
        <v>49</v>
      </c>
      <c r="R8" s="255">
        <v>1</v>
      </c>
      <c r="S8" s="254"/>
      <c r="T8" s="254"/>
      <c r="U8" s="253">
        <v>25</v>
      </c>
      <c r="V8" s="251"/>
      <c r="W8" s="251"/>
      <c r="X8" s="251"/>
      <c r="Y8" s="251"/>
      <c r="Z8" s="251"/>
      <c r="AA8" s="251"/>
      <c r="AB8" s="251"/>
      <c r="AC8" s="251"/>
      <c r="AD8" t="s" s="250">
        <v>1205</v>
      </c>
      <c r="AE8" s="252"/>
      <c r="AF8" s="8"/>
      <c r="AG8" s="8"/>
      <c r="AH8" s="8"/>
      <c r="AI8" s="8"/>
      <c r="AJ8" s="8"/>
      <c r="AK8" s="8"/>
      <c r="AL8" s="8"/>
      <c r="AM8" s="8"/>
      <c r="AN8" s="8"/>
      <c r="AO8" s="8"/>
      <c r="AP8" s="8"/>
      <c r="AQ8" s="8"/>
      <c r="AR8" s="8"/>
      <c r="AS8" s="8"/>
      <c r="AT8" s="8"/>
      <c r="AU8" s="8"/>
      <c r="AV8" s="8"/>
      <c r="AW8" s="8"/>
      <c r="AX8" s="8"/>
      <c r="AY8" s="8"/>
    </row>
    <row r="9" ht="17.45" customHeight="1">
      <c r="A9" t="s" s="250">
        <v>1199</v>
      </c>
      <c r="B9" t="s" s="250">
        <v>1200</v>
      </c>
      <c r="C9" s="251"/>
      <c r="D9" t="s" s="250">
        <v>1189</v>
      </c>
      <c r="E9" t="s" s="250">
        <v>353</v>
      </c>
      <c r="F9" t="s" s="250">
        <v>399</v>
      </c>
      <c r="G9" s="253">
        <v>1</v>
      </c>
      <c r="H9" s="251"/>
      <c r="I9" s="251"/>
      <c r="J9" s="251"/>
      <c r="K9" s="251"/>
      <c r="L9" s="251"/>
      <c r="M9" s="254"/>
      <c r="N9" s="254"/>
      <c r="O9" s="254"/>
      <c r="P9" s="255">
        <v>1</v>
      </c>
      <c r="Q9" s="255">
        <v>24</v>
      </c>
      <c r="R9" s="254"/>
      <c r="S9" s="255">
        <v>1</v>
      </c>
      <c r="T9" s="251"/>
      <c r="U9" s="251"/>
      <c r="V9" s="251"/>
      <c r="W9" s="251"/>
      <c r="X9" t="s" s="250">
        <v>159</v>
      </c>
      <c r="Y9" s="251"/>
      <c r="Z9" s="253">
        <v>1</v>
      </c>
      <c r="AA9" s="251"/>
      <c r="AB9" s="251"/>
      <c r="AC9" s="251"/>
      <c r="AD9" t="s" s="250">
        <v>435</v>
      </c>
      <c r="AE9" s="252"/>
      <c r="AF9" s="8"/>
      <c r="AG9" s="8"/>
      <c r="AH9" s="8"/>
      <c r="AI9" s="8"/>
      <c r="AJ9" s="8"/>
      <c r="AK9" s="8"/>
      <c r="AL9" s="8"/>
      <c r="AM9" s="8"/>
      <c r="AN9" s="8"/>
      <c r="AO9" s="8"/>
      <c r="AP9" s="8"/>
      <c r="AQ9" s="8"/>
      <c r="AR9" s="8"/>
      <c r="AS9" s="8"/>
      <c r="AT9" s="8"/>
      <c r="AU9" s="8"/>
      <c r="AV9" s="8"/>
      <c r="AW9" s="8"/>
      <c r="AX9" s="8"/>
      <c r="AY9" s="8"/>
    </row>
    <row r="10" ht="17.45" customHeight="1">
      <c r="A10" t="s" s="250">
        <v>1199</v>
      </c>
      <c r="B10" t="s" s="250">
        <v>1200</v>
      </c>
      <c r="C10" s="251"/>
      <c r="D10" t="s" s="250">
        <v>1189</v>
      </c>
      <c r="E10" t="s" s="250">
        <v>1206</v>
      </c>
      <c r="F10" t="s" s="250">
        <v>51</v>
      </c>
      <c r="G10" s="253">
        <v>1</v>
      </c>
      <c r="H10" s="251"/>
      <c r="I10" s="251"/>
      <c r="J10" s="251"/>
      <c r="K10" s="251"/>
      <c r="L10" s="251"/>
      <c r="M10" s="254"/>
      <c r="N10" s="254"/>
      <c r="O10" s="254"/>
      <c r="P10" s="255">
        <v>1</v>
      </c>
      <c r="Q10" s="255">
        <v>25</v>
      </c>
      <c r="R10" s="254"/>
      <c r="S10" s="255">
        <v>1</v>
      </c>
      <c r="T10" s="254"/>
      <c r="U10" s="251"/>
      <c r="V10" s="251"/>
      <c r="W10" s="251"/>
      <c r="X10" t="s" s="250">
        <v>1207</v>
      </c>
      <c r="Y10" s="251"/>
      <c r="Z10" s="253">
        <v>1</v>
      </c>
      <c r="AA10" s="251"/>
      <c r="AB10" s="251"/>
      <c r="AC10" s="251"/>
      <c r="AD10" t="s" s="250">
        <v>435</v>
      </c>
      <c r="AE10" s="252"/>
      <c r="AF10" s="8"/>
      <c r="AG10" s="8"/>
      <c r="AH10" s="8"/>
      <c r="AI10" s="8"/>
      <c r="AJ10" s="8"/>
      <c r="AK10" s="8"/>
      <c r="AL10" s="8"/>
      <c r="AM10" s="8"/>
      <c r="AN10" s="8"/>
      <c r="AO10" s="8"/>
      <c r="AP10" s="8"/>
      <c r="AQ10" s="8"/>
      <c r="AR10" s="8"/>
      <c r="AS10" s="8"/>
      <c r="AT10" s="8"/>
      <c r="AU10" s="8"/>
      <c r="AV10" s="8"/>
      <c r="AW10" s="8"/>
      <c r="AX10" s="8"/>
      <c r="AY10" s="8"/>
    </row>
    <row r="11" ht="17.45" customHeight="1">
      <c r="A11" t="s" s="250">
        <v>1208</v>
      </c>
      <c r="B11" t="s" s="250">
        <v>1209</v>
      </c>
      <c r="C11" s="251"/>
      <c r="D11" t="s" s="250">
        <v>1189</v>
      </c>
      <c r="E11" t="s" s="250">
        <v>1210</v>
      </c>
      <c r="F11" t="s" s="250">
        <v>1211</v>
      </c>
      <c r="G11" s="253">
        <v>1</v>
      </c>
      <c r="H11" s="251"/>
      <c r="I11" s="251"/>
      <c r="J11" s="251"/>
      <c r="K11" s="251"/>
      <c r="L11" s="253">
        <v>1</v>
      </c>
      <c r="M11" s="254"/>
      <c r="N11" s="254"/>
      <c r="O11" s="254"/>
      <c r="P11" s="254"/>
      <c r="Q11" s="255">
        <v>55</v>
      </c>
      <c r="R11" s="255">
        <v>1</v>
      </c>
      <c r="S11" s="254"/>
      <c r="T11" s="254"/>
      <c r="U11" s="253">
        <v>34</v>
      </c>
      <c r="V11" s="255">
        <v>5</v>
      </c>
      <c r="W11" s="255">
        <v>5</v>
      </c>
      <c r="X11" s="251"/>
      <c r="Y11" s="251"/>
      <c r="Z11" s="251"/>
      <c r="AA11" s="251"/>
      <c r="AB11" s="251"/>
      <c r="AC11" s="253">
        <v>1</v>
      </c>
      <c r="AD11" s="251"/>
      <c r="AE11" s="252"/>
      <c r="AF11" s="8"/>
      <c r="AG11" s="8"/>
      <c r="AH11" s="8"/>
      <c r="AI11" s="8"/>
      <c r="AJ11" s="8"/>
      <c r="AK11" s="8"/>
      <c r="AL11" s="8"/>
      <c r="AM11" s="8"/>
      <c r="AN11" s="8"/>
      <c r="AO11" s="8"/>
      <c r="AP11" s="8"/>
      <c r="AQ11" s="8"/>
      <c r="AR11" s="8"/>
      <c r="AS11" s="8"/>
      <c r="AT11" s="8"/>
      <c r="AU11" s="8"/>
      <c r="AV11" s="8"/>
      <c r="AW11" s="8"/>
      <c r="AX11" s="8"/>
      <c r="AY11" s="8"/>
    </row>
    <row r="12" ht="17.45" customHeight="1">
      <c r="A12" t="s" s="250">
        <v>1208</v>
      </c>
      <c r="B12" t="s" s="250">
        <v>1209</v>
      </c>
      <c r="C12" s="251"/>
      <c r="D12" t="s" s="250">
        <v>1189</v>
      </c>
      <c r="E12" t="s" s="250">
        <v>1210</v>
      </c>
      <c r="F12" t="s" s="250">
        <v>1212</v>
      </c>
      <c r="G12" s="251"/>
      <c r="H12" s="253">
        <v>1</v>
      </c>
      <c r="I12" s="251"/>
      <c r="J12" s="251"/>
      <c r="K12" s="251"/>
      <c r="L12" s="251"/>
      <c r="M12" s="251"/>
      <c r="N12" s="253">
        <v>1</v>
      </c>
      <c r="O12" s="251"/>
      <c r="P12" s="251"/>
      <c r="Q12" s="255">
        <v>33</v>
      </c>
      <c r="R12" s="251"/>
      <c r="S12" s="253">
        <v>1</v>
      </c>
      <c r="T12" s="251"/>
      <c r="U12" s="251"/>
      <c r="V12" s="251"/>
      <c r="W12" s="251"/>
      <c r="X12" t="s" s="250">
        <v>337</v>
      </c>
      <c r="Y12" s="251"/>
      <c r="Z12" s="253">
        <v>1</v>
      </c>
      <c r="AA12" s="251"/>
      <c r="AB12" s="251"/>
      <c r="AC12" s="253">
        <v>1</v>
      </c>
      <c r="AD12" s="251"/>
      <c r="AE12" s="252"/>
      <c r="AF12" s="8"/>
      <c r="AG12" s="8"/>
      <c r="AH12" s="8"/>
      <c r="AI12" s="8"/>
      <c r="AJ12" s="8"/>
      <c r="AK12" s="8"/>
      <c r="AL12" s="8"/>
      <c r="AM12" s="8"/>
      <c r="AN12" s="8"/>
      <c r="AO12" s="8"/>
      <c r="AP12" s="8"/>
      <c r="AQ12" s="8"/>
      <c r="AR12" s="8"/>
      <c r="AS12" s="8"/>
      <c r="AT12" s="8"/>
      <c r="AU12" s="8"/>
      <c r="AV12" s="8"/>
      <c r="AW12" s="8"/>
      <c r="AX12" s="8"/>
      <c r="AY12" s="8"/>
    </row>
    <row r="13" ht="17.45" customHeight="1">
      <c r="A13" t="s" s="250">
        <v>1208</v>
      </c>
      <c r="B13" t="s" s="250">
        <v>1209</v>
      </c>
      <c r="C13" s="251"/>
      <c r="D13" t="s" s="250">
        <v>1189</v>
      </c>
      <c r="E13" t="s" s="250">
        <v>1210</v>
      </c>
      <c r="F13" t="s" s="250">
        <v>1213</v>
      </c>
      <c r="G13" s="251"/>
      <c r="H13" s="253">
        <v>1</v>
      </c>
      <c r="I13" s="251"/>
      <c r="J13" s="251"/>
      <c r="K13" s="251"/>
      <c r="L13" s="251"/>
      <c r="M13" s="251"/>
      <c r="N13" s="253">
        <v>1</v>
      </c>
      <c r="O13" s="251"/>
      <c r="P13" s="251"/>
      <c r="Q13" s="255">
        <v>30</v>
      </c>
      <c r="R13" s="251"/>
      <c r="S13" s="253">
        <v>1</v>
      </c>
      <c r="T13" s="251"/>
      <c r="U13" s="251"/>
      <c r="V13" s="251"/>
      <c r="W13" s="251"/>
      <c r="X13" t="s" s="250">
        <v>1214</v>
      </c>
      <c r="Y13" s="251"/>
      <c r="Z13" s="253">
        <v>1</v>
      </c>
      <c r="AA13" s="251"/>
      <c r="AB13" s="251"/>
      <c r="AC13" s="253">
        <v>1</v>
      </c>
      <c r="AD13" s="251"/>
      <c r="AE13" s="252"/>
      <c r="AF13" s="8"/>
      <c r="AG13" s="8"/>
      <c r="AH13" s="8"/>
      <c r="AI13" s="8"/>
      <c r="AJ13" s="8"/>
      <c r="AK13" s="8"/>
      <c r="AL13" s="8"/>
      <c r="AM13" s="8"/>
      <c r="AN13" s="8"/>
      <c r="AO13" s="8"/>
      <c r="AP13" s="8"/>
      <c r="AQ13" s="8"/>
      <c r="AR13" s="8"/>
      <c r="AS13" s="8"/>
      <c r="AT13" s="8"/>
      <c r="AU13" s="8"/>
      <c r="AV13" s="8"/>
      <c r="AW13" s="8"/>
      <c r="AX13" s="8"/>
      <c r="AY13" s="8"/>
    </row>
    <row r="14" ht="17.45" customHeight="1">
      <c r="A14" t="s" s="250">
        <v>1208</v>
      </c>
      <c r="B14" t="s" s="250">
        <v>1209</v>
      </c>
      <c r="C14" s="251"/>
      <c r="D14" t="s" s="250">
        <v>1189</v>
      </c>
      <c r="E14" t="s" s="250">
        <v>1210</v>
      </c>
      <c r="F14" t="s" s="250">
        <v>1215</v>
      </c>
      <c r="G14" s="251"/>
      <c r="H14" s="253">
        <v>1</v>
      </c>
      <c r="I14" s="251"/>
      <c r="J14" s="251"/>
      <c r="K14" s="251"/>
      <c r="L14" s="251"/>
      <c r="M14" s="251"/>
      <c r="N14" s="253">
        <v>1</v>
      </c>
      <c r="O14" s="251"/>
      <c r="P14" s="251"/>
      <c r="Q14" s="255">
        <v>20</v>
      </c>
      <c r="R14" s="251"/>
      <c r="S14" s="253">
        <v>1</v>
      </c>
      <c r="T14" s="251"/>
      <c r="U14" s="251"/>
      <c r="V14" s="251"/>
      <c r="W14" s="251"/>
      <c r="X14" t="s" s="250">
        <v>1216</v>
      </c>
      <c r="Y14" t="s" s="250">
        <v>1217</v>
      </c>
      <c r="Z14" s="251"/>
      <c r="AA14" s="251"/>
      <c r="AB14" s="251"/>
      <c r="AC14" s="253">
        <v>1</v>
      </c>
      <c r="AD14" s="251"/>
      <c r="AE14" s="252"/>
      <c r="AF14" s="8"/>
      <c r="AG14" s="8"/>
      <c r="AH14" s="8"/>
      <c r="AI14" s="8"/>
      <c r="AJ14" s="8"/>
      <c r="AK14" s="8"/>
      <c r="AL14" s="8"/>
      <c r="AM14" s="8"/>
      <c r="AN14" s="8"/>
      <c r="AO14" s="8"/>
      <c r="AP14" s="8"/>
      <c r="AQ14" s="8"/>
      <c r="AR14" s="8"/>
      <c r="AS14" s="8"/>
      <c r="AT14" s="8"/>
      <c r="AU14" s="8"/>
      <c r="AV14" s="8"/>
      <c r="AW14" s="8"/>
      <c r="AX14" s="8"/>
      <c r="AY14" s="8"/>
    </row>
    <row r="15" ht="17.45" customHeight="1">
      <c r="A15" t="s" s="250">
        <v>1208</v>
      </c>
      <c r="B15" t="s" s="250">
        <v>1209</v>
      </c>
      <c r="C15" s="251"/>
      <c r="D15" t="s" s="250">
        <v>1189</v>
      </c>
      <c r="E15" t="s" s="250">
        <v>1210</v>
      </c>
      <c r="F15" t="s" s="250">
        <v>1218</v>
      </c>
      <c r="G15" s="253">
        <v>1</v>
      </c>
      <c r="H15" s="251"/>
      <c r="I15" s="251"/>
      <c r="J15" s="251"/>
      <c r="K15" s="251"/>
      <c r="L15" s="251"/>
      <c r="M15" s="253">
        <v>1</v>
      </c>
      <c r="N15" s="251"/>
      <c r="O15" s="251"/>
      <c r="P15" s="251"/>
      <c r="Q15" s="255">
        <v>18</v>
      </c>
      <c r="R15" s="251"/>
      <c r="S15" s="253">
        <v>1</v>
      </c>
      <c r="T15" s="251"/>
      <c r="U15" s="251"/>
      <c r="V15" s="251"/>
      <c r="W15" s="251"/>
      <c r="X15" t="s" s="250">
        <v>246</v>
      </c>
      <c r="Y15" s="251"/>
      <c r="Z15" s="251"/>
      <c r="AA15" s="251"/>
      <c r="AB15" s="251"/>
      <c r="AC15" s="253">
        <v>1</v>
      </c>
      <c r="AD15" s="251"/>
      <c r="AE15" t="s" s="256">
        <v>1219</v>
      </c>
      <c r="AF15" s="8"/>
      <c r="AG15" s="8"/>
      <c r="AH15" s="8"/>
      <c r="AI15" s="8"/>
      <c r="AJ15" s="8"/>
      <c r="AK15" s="8"/>
      <c r="AL15" s="8"/>
      <c r="AM15" s="8"/>
      <c r="AN15" s="8"/>
      <c r="AO15" s="8"/>
      <c r="AP15" s="8"/>
      <c r="AQ15" s="8"/>
      <c r="AR15" s="8"/>
      <c r="AS15" s="8"/>
      <c r="AT15" s="8"/>
      <c r="AU15" s="8"/>
      <c r="AV15" s="8"/>
      <c r="AW15" s="8"/>
      <c r="AX15" s="8"/>
      <c r="AY15" s="8"/>
    </row>
    <row r="16" ht="17.45" customHeight="1">
      <c r="A16" t="s" s="250">
        <v>1208</v>
      </c>
      <c r="B16" t="s" s="250">
        <v>1209</v>
      </c>
      <c r="C16" s="251"/>
      <c r="D16" t="s" s="250">
        <v>1189</v>
      </c>
      <c r="E16" t="s" s="250">
        <v>1220</v>
      </c>
      <c r="F16" t="s" s="250">
        <v>1221</v>
      </c>
      <c r="G16" s="253">
        <v>1</v>
      </c>
      <c r="H16" s="251"/>
      <c r="I16" s="251"/>
      <c r="J16" s="251"/>
      <c r="K16" s="251"/>
      <c r="L16" s="251"/>
      <c r="M16" s="251"/>
      <c r="N16" s="251"/>
      <c r="O16" s="251"/>
      <c r="P16" s="253">
        <v>1</v>
      </c>
      <c r="Q16" s="255">
        <v>56</v>
      </c>
      <c r="R16" s="251"/>
      <c r="S16" s="253">
        <v>1</v>
      </c>
      <c r="T16" s="251"/>
      <c r="U16" s="251"/>
      <c r="V16" s="251"/>
      <c r="W16" s="251"/>
      <c r="X16" t="s" s="250">
        <v>830</v>
      </c>
      <c r="Y16" s="251"/>
      <c r="Z16" s="253">
        <v>1</v>
      </c>
      <c r="AA16" s="251"/>
      <c r="AB16" s="251"/>
      <c r="AC16" s="251"/>
      <c r="AD16" t="s" s="250">
        <v>1222</v>
      </c>
      <c r="AE16" s="252"/>
      <c r="AF16" s="8"/>
      <c r="AG16" s="8"/>
      <c r="AH16" s="8"/>
      <c r="AI16" s="8"/>
      <c r="AJ16" s="8"/>
      <c r="AK16" s="8"/>
      <c r="AL16" s="8"/>
      <c r="AM16" s="8"/>
      <c r="AN16" s="8"/>
      <c r="AO16" s="8"/>
      <c r="AP16" s="8"/>
      <c r="AQ16" s="8"/>
      <c r="AR16" s="8"/>
      <c r="AS16" s="8"/>
      <c r="AT16" s="8"/>
      <c r="AU16" s="8"/>
      <c r="AV16" s="8"/>
      <c r="AW16" s="8"/>
      <c r="AX16" s="8"/>
      <c r="AY16" s="8"/>
    </row>
    <row r="17" ht="17.45" customHeight="1">
      <c r="A17" t="s" s="250">
        <v>1208</v>
      </c>
      <c r="B17" t="s" s="250">
        <v>1209</v>
      </c>
      <c r="C17" s="251"/>
      <c r="D17" t="s" s="250">
        <v>1189</v>
      </c>
      <c r="E17" t="s" s="250">
        <v>280</v>
      </c>
      <c r="F17" t="s" s="250">
        <v>1223</v>
      </c>
      <c r="G17" s="253">
        <v>1</v>
      </c>
      <c r="H17" s="251"/>
      <c r="I17" s="251"/>
      <c r="J17" s="251"/>
      <c r="K17" s="251"/>
      <c r="L17" s="251"/>
      <c r="M17" s="251"/>
      <c r="N17" s="251"/>
      <c r="O17" s="251"/>
      <c r="P17" s="253">
        <v>1</v>
      </c>
      <c r="Q17" s="255">
        <v>29</v>
      </c>
      <c r="R17" s="251"/>
      <c r="S17" s="253">
        <v>1</v>
      </c>
      <c r="T17" s="251"/>
      <c r="U17" s="251"/>
      <c r="V17" s="251"/>
      <c r="W17" s="251"/>
      <c r="X17" t="s" s="250">
        <v>159</v>
      </c>
      <c r="Y17" s="251"/>
      <c r="Z17" s="253">
        <v>1</v>
      </c>
      <c r="AA17" s="251"/>
      <c r="AB17" s="251"/>
      <c r="AC17" s="251"/>
      <c r="AD17" t="s" s="250">
        <v>435</v>
      </c>
      <c r="AE17" s="252"/>
      <c r="AF17" s="8"/>
      <c r="AG17" s="8"/>
      <c r="AH17" s="8"/>
      <c r="AI17" s="8"/>
      <c r="AJ17" s="8"/>
      <c r="AK17" s="8"/>
      <c r="AL17" s="8"/>
      <c r="AM17" s="8"/>
      <c r="AN17" s="8"/>
      <c r="AO17" s="8"/>
      <c r="AP17" s="8"/>
      <c r="AQ17" s="8"/>
      <c r="AR17" s="8"/>
      <c r="AS17" s="8"/>
      <c r="AT17" s="8"/>
      <c r="AU17" s="8"/>
      <c r="AV17" s="8"/>
      <c r="AW17" s="8"/>
      <c r="AX17" s="8"/>
      <c r="AY17" s="8"/>
    </row>
    <row r="18" ht="17.45" customHeight="1">
      <c r="A18" t="s" s="250">
        <v>1208</v>
      </c>
      <c r="B18" t="s" s="250">
        <v>1209</v>
      </c>
      <c r="C18" s="251"/>
      <c r="D18" t="s" s="250">
        <v>1189</v>
      </c>
      <c r="E18" t="s" s="250">
        <v>482</v>
      </c>
      <c r="F18" t="s" s="250">
        <v>234</v>
      </c>
      <c r="G18" s="253">
        <v>1</v>
      </c>
      <c r="H18" s="251"/>
      <c r="I18" s="251"/>
      <c r="J18" s="251"/>
      <c r="K18" s="251"/>
      <c r="L18" s="251"/>
      <c r="M18" s="251"/>
      <c r="N18" s="251"/>
      <c r="O18" s="251"/>
      <c r="P18" s="253">
        <v>1</v>
      </c>
      <c r="Q18" s="255">
        <v>26</v>
      </c>
      <c r="R18" s="251"/>
      <c r="S18" s="253">
        <v>1</v>
      </c>
      <c r="T18" s="251"/>
      <c r="U18" s="251"/>
      <c r="V18" s="251"/>
      <c r="W18" s="251"/>
      <c r="X18" t="s" s="250">
        <v>165</v>
      </c>
      <c r="Y18" s="251"/>
      <c r="Z18" s="253">
        <v>1</v>
      </c>
      <c r="AA18" s="251"/>
      <c r="AB18" s="251"/>
      <c r="AC18" s="251"/>
      <c r="AD18" t="s" s="250">
        <v>240</v>
      </c>
      <c r="AE18" s="252"/>
      <c r="AF18" s="8"/>
      <c r="AG18" s="8"/>
      <c r="AH18" s="8"/>
      <c r="AI18" s="8"/>
      <c r="AJ18" s="8"/>
      <c r="AK18" s="8"/>
      <c r="AL18" s="8"/>
      <c r="AM18" s="8"/>
      <c r="AN18" s="8"/>
      <c r="AO18" s="8"/>
      <c r="AP18" s="8"/>
      <c r="AQ18" s="8"/>
      <c r="AR18" s="8"/>
      <c r="AS18" s="8"/>
      <c r="AT18" s="8"/>
      <c r="AU18" s="8"/>
      <c r="AV18" s="8"/>
      <c r="AW18" s="8"/>
      <c r="AX18" s="8"/>
      <c r="AY18" s="8"/>
    </row>
    <row r="19" ht="17.45" customHeight="1">
      <c r="A19" t="s" s="250">
        <v>1208</v>
      </c>
      <c r="B19" t="s" s="250">
        <v>1209</v>
      </c>
      <c r="C19" s="251"/>
      <c r="D19" t="s" s="250">
        <v>1189</v>
      </c>
      <c r="E19" t="s" s="250">
        <v>1224</v>
      </c>
      <c r="F19" t="s" s="250">
        <v>1225</v>
      </c>
      <c r="G19" s="253">
        <v>1</v>
      </c>
      <c r="H19" s="251"/>
      <c r="I19" s="251"/>
      <c r="J19" s="251"/>
      <c r="K19" s="251"/>
      <c r="L19" s="251"/>
      <c r="M19" s="251"/>
      <c r="N19" s="251"/>
      <c r="O19" s="251"/>
      <c r="P19" s="253">
        <v>1</v>
      </c>
      <c r="Q19" s="255">
        <v>29</v>
      </c>
      <c r="R19" s="251"/>
      <c r="S19" s="253">
        <v>1</v>
      </c>
      <c r="T19" s="251"/>
      <c r="U19" s="251"/>
      <c r="V19" s="251"/>
      <c r="W19" s="251"/>
      <c r="X19" t="s" s="250">
        <v>162</v>
      </c>
      <c r="Y19" s="251"/>
      <c r="Z19" s="253">
        <v>1</v>
      </c>
      <c r="AA19" s="251"/>
      <c r="AB19" s="251"/>
      <c r="AC19" s="253">
        <v>1</v>
      </c>
      <c r="AD19" s="251"/>
      <c r="AE19" s="252"/>
      <c r="AF19" s="8"/>
      <c r="AG19" s="8"/>
      <c r="AH19" s="8"/>
      <c r="AI19" s="8"/>
      <c r="AJ19" s="8"/>
      <c r="AK19" s="8"/>
      <c r="AL19" s="8"/>
      <c r="AM19" s="8"/>
      <c r="AN19" s="8"/>
      <c r="AO19" s="8"/>
      <c r="AP19" s="8"/>
      <c r="AQ19" s="8"/>
      <c r="AR19" s="8"/>
      <c r="AS19" s="8"/>
      <c r="AT19" s="8"/>
      <c r="AU19" s="8"/>
      <c r="AV19" s="8"/>
      <c r="AW19" s="8"/>
      <c r="AX19" s="8"/>
      <c r="AY19" s="8"/>
    </row>
    <row r="20" ht="17.45" customHeight="1">
      <c r="A20" t="s" s="250">
        <v>1208</v>
      </c>
      <c r="B20" t="s" s="250">
        <v>1209</v>
      </c>
      <c r="C20" s="251"/>
      <c r="D20" t="s" s="250">
        <v>1189</v>
      </c>
      <c r="E20" t="s" s="250">
        <v>1226</v>
      </c>
      <c r="F20" t="s" s="250">
        <v>1227</v>
      </c>
      <c r="G20" s="253">
        <v>1</v>
      </c>
      <c r="H20" s="251"/>
      <c r="I20" s="251"/>
      <c r="J20" s="251"/>
      <c r="K20" s="251"/>
      <c r="L20" s="251"/>
      <c r="M20" s="251"/>
      <c r="N20" s="251"/>
      <c r="O20" s="251"/>
      <c r="P20" s="253">
        <v>1</v>
      </c>
      <c r="Q20" s="255">
        <v>21</v>
      </c>
      <c r="R20" s="251"/>
      <c r="S20" s="253">
        <v>1</v>
      </c>
      <c r="T20" s="251"/>
      <c r="U20" s="251"/>
      <c r="V20" s="251"/>
      <c r="W20" s="251"/>
      <c r="X20" t="s" s="250">
        <v>497</v>
      </c>
      <c r="Y20" s="251"/>
      <c r="Z20" s="253">
        <v>1</v>
      </c>
      <c r="AA20" s="251"/>
      <c r="AB20" s="251"/>
      <c r="AC20" s="251"/>
      <c r="AD20" t="s" s="250">
        <v>429</v>
      </c>
      <c r="AE20" s="252"/>
      <c r="AF20" s="8"/>
      <c r="AG20" s="8"/>
      <c r="AH20" s="8"/>
      <c r="AI20" s="8"/>
      <c r="AJ20" s="8"/>
      <c r="AK20" s="8"/>
      <c r="AL20" s="8"/>
      <c r="AM20" s="8"/>
      <c r="AN20" s="8"/>
      <c r="AO20" s="8"/>
      <c r="AP20" s="8"/>
      <c r="AQ20" s="8"/>
      <c r="AR20" s="8"/>
      <c r="AS20" s="8"/>
      <c r="AT20" s="8"/>
      <c r="AU20" s="8"/>
      <c r="AV20" s="8"/>
      <c r="AW20" s="8"/>
      <c r="AX20" s="8"/>
      <c r="AY20" s="8"/>
    </row>
    <row r="21" ht="17.45" customHeight="1">
      <c r="A21" t="s" s="250">
        <v>1228</v>
      </c>
      <c r="B21" t="s" s="250">
        <v>1229</v>
      </c>
      <c r="C21" s="251"/>
      <c r="D21" t="s" s="250">
        <v>1189</v>
      </c>
      <c r="E21" t="s" s="250">
        <v>436</v>
      </c>
      <c r="F21" t="s" s="250">
        <v>68</v>
      </c>
      <c r="G21" s="251"/>
      <c r="H21" s="253">
        <v>1</v>
      </c>
      <c r="I21" s="251"/>
      <c r="J21" s="251"/>
      <c r="K21" s="253">
        <v>1</v>
      </c>
      <c r="L21" s="251"/>
      <c r="M21" s="251"/>
      <c r="N21" s="251"/>
      <c r="O21" s="251"/>
      <c r="P21" s="251"/>
      <c r="Q21" s="255">
        <v>81</v>
      </c>
      <c r="R21" s="253">
        <v>1</v>
      </c>
      <c r="S21" s="251"/>
      <c r="T21" s="251"/>
      <c r="U21" s="251"/>
      <c r="V21" s="251"/>
      <c r="W21" s="251"/>
      <c r="X21" t="s" s="250">
        <v>1214</v>
      </c>
      <c r="Y21" s="251"/>
      <c r="Z21" s="253">
        <v>1</v>
      </c>
      <c r="AA21" s="253">
        <v>1</v>
      </c>
      <c r="AB21" s="251"/>
      <c r="AC21" s="251"/>
      <c r="AD21" t="s" s="250">
        <v>446</v>
      </c>
      <c r="AE21" s="252"/>
      <c r="AF21" s="8"/>
      <c r="AG21" s="8"/>
      <c r="AH21" s="8"/>
      <c r="AI21" s="8"/>
      <c r="AJ21" s="8"/>
      <c r="AK21" s="8"/>
      <c r="AL21" s="8"/>
      <c r="AM21" s="8"/>
      <c r="AN21" s="8"/>
      <c r="AO21" s="8"/>
      <c r="AP21" s="8"/>
      <c r="AQ21" s="8"/>
      <c r="AR21" s="8"/>
      <c r="AS21" s="8"/>
      <c r="AT21" s="8"/>
      <c r="AU21" s="8"/>
      <c r="AV21" s="8"/>
      <c r="AW21" s="8"/>
      <c r="AX21" s="8"/>
      <c r="AY21" s="8"/>
    </row>
    <row r="22" ht="17.45" customHeight="1">
      <c r="A22" t="s" s="250">
        <v>1228</v>
      </c>
      <c r="B22" t="s" s="250">
        <v>1229</v>
      </c>
      <c r="C22" s="251"/>
      <c r="D22" t="s" s="250">
        <v>1189</v>
      </c>
      <c r="E22" t="s" s="250">
        <v>436</v>
      </c>
      <c r="F22" t="s" s="250">
        <v>43</v>
      </c>
      <c r="G22" s="253">
        <v>1</v>
      </c>
      <c r="H22" s="251"/>
      <c r="I22" s="251"/>
      <c r="J22" s="251"/>
      <c r="K22" s="251"/>
      <c r="L22" s="253">
        <v>1</v>
      </c>
      <c r="M22" s="251"/>
      <c r="N22" s="251"/>
      <c r="O22" s="251"/>
      <c r="P22" s="251"/>
      <c r="Q22" s="255">
        <v>64</v>
      </c>
      <c r="R22" s="253">
        <v>1</v>
      </c>
      <c r="S22" s="251"/>
      <c r="T22" s="251"/>
      <c r="U22" s="253">
        <v>40</v>
      </c>
      <c r="V22" s="253">
        <v>1</v>
      </c>
      <c r="W22" s="253">
        <v>1</v>
      </c>
      <c r="X22" s="251"/>
      <c r="Y22" s="251"/>
      <c r="Z22" s="251"/>
      <c r="AA22" s="251"/>
      <c r="AB22" s="251"/>
      <c r="AC22" s="253">
        <v>1</v>
      </c>
      <c r="AD22" s="251"/>
      <c r="AE22" s="252"/>
      <c r="AF22" s="8"/>
      <c r="AG22" s="8"/>
      <c r="AH22" s="8"/>
      <c r="AI22" s="8"/>
      <c r="AJ22" s="8"/>
      <c r="AK22" s="8"/>
      <c r="AL22" s="8"/>
      <c r="AM22" s="8"/>
      <c r="AN22" s="8"/>
      <c r="AO22" s="8"/>
      <c r="AP22" s="8"/>
      <c r="AQ22" s="8"/>
      <c r="AR22" s="8"/>
      <c r="AS22" s="8"/>
      <c r="AT22" s="8"/>
      <c r="AU22" s="8"/>
      <c r="AV22" s="8"/>
      <c r="AW22" s="8"/>
      <c r="AX22" s="8"/>
      <c r="AY22" s="8"/>
    </row>
    <row r="23" ht="17.45" customHeight="1">
      <c r="A23" t="s" s="250">
        <v>1228</v>
      </c>
      <c r="B23" t="s" s="250">
        <v>1229</v>
      </c>
      <c r="C23" s="251"/>
      <c r="D23" t="s" s="250">
        <v>1189</v>
      </c>
      <c r="E23" t="s" s="250">
        <v>1230</v>
      </c>
      <c r="F23" t="s" s="250">
        <v>1231</v>
      </c>
      <c r="G23" s="253">
        <v>1</v>
      </c>
      <c r="H23" s="251"/>
      <c r="I23" s="251"/>
      <c r="J23" s="251"/>
      <c r="K23" s="251"/>
      <c r="L23" s="251"/>
      <c r="M23" s="251"/>
      <c r="N23" s="251"/>
      <c r="O23" t="s" s="250">
        <v>441</v>
      </c>
      <c r="P23" s="251"/>
      <c r="Q23" s="255">
        <v>62</v>
      </c>
      <c r="R23" s="251"/>
      <c r="S23" s="253">
        <v>1</v>
      </c>
      <c r="T23" s="251"/>
      <c r="U23" s="251"/>
      <c r="V23" s="251"/>
      <c r="W23" s="251"/>
      <c r="X23" t="s" s="250">
        <v>100</v>
      </c>
      <c r="Y23" s="251"/>
      <c r="Z23" s="251"/>
      <c r="AA23" s="251"/>
      <c r="AB23" s="251"/>
      <c r="AC23" s="253">
        <v>1</v>
      </c>
      <c r="AD23" s="251"/>
      <c r="AE23" s="252"/>
      <c r="AF23" s="8"/>
      <c r="AG23" s="8"/>
      <c r="AH23" s="8"/>
      <c r="AI23" s="8"/>
      <c r="AJ23" s="8"/>
      <c r="AK23" s="8"/>
      <c r="AL23" s="8"/>
      <c r="AM23" s="8"/>
      <c r="AN23" s="8"/>
      <c r="AO23" s="8"/>
      <c r="AP23" s="8"/>
      <c r="AQ23" s="8"/>
      <c r="AR23" s="8"/>
      <c r="AS23" s="8"/>
      <c r="AT23" s="8"/>
      <c r="AU23" s="8"/>
      <c r="AV23" s="8"/>
      <c r="AW23" s="8"/>
      <c r="AX23" s="8"/>
      <c r="AY23" s="8"/>
    </row>
    <row r="24" ht="17.45" customHeight="1">
      <c r="A24" t="s" s="250">
        <v>1228</v>
      </c>
      <c r="B24" t="s" s="250">
        <v>1229</v>
      </c>
      <c r="C24" s="251"/>
      <c r="D24" t="s" s="250">
        <v>1189</v>
      </c>
      <c r="E24" t="s" s="250">
        <v>1232</v>
      </c>
      <c r="F24" t="s" s="250">
        <v>1131</v>
      </c>
      <c r="G24" s="253">
        <v>1</v>
      </c>
      <c r="H24" s="251"/>
      <c r="I24" s="251"/>
      <c r="J24" s="251"/>
      <c r="K24" s="251"/>
      <c r="L24" s="251"/>
      <c r="M24" s="251"/>
      <c r="N24" s="251"/>
      <c r="O24" s="251"/>
      <c r="P24" s="253">
        <v>1</v>
      </c>
      <c r="Q24" s="255">
        <v>17</v>
      </c>
      <c r="R24" s="251"/>
      <c r="S24" s="253">
        <v>1</v>
      </c>
      <c r="T24" s="251"/>
      <c r="U24" s="251"/>
      <c r="V24" s="251"/>
      <c r="W24" s="251"/>
      <c r="X24" t="s" s="250">
        <v>1233</v>
      </c>
      <c r="Y24" s="251"/>
      <c r="Z24" s="253">
        <v>1</v>
      </c>
      <c r="AA24" s="251"/>
      <c r="AB24" s="251"/>
      <c r="AC24" s="251"/>
      <c r="AD24" t="s" s="250">
        <v>435</v>
      </c>
      <c r="AE24" s="252"/>
      <c r="AF24" s="8"/>
      <c r="AG24" s="8"/>
      <c r="AH24" s="8"/>
      <c r="AI24" s="8"/>
      <c r="AJ24" s="8"/>
      <c r="AK24" s="8"/>
      <c r="AL24" s="8"/>
      <c r="AM24" s="8"/>
      <c r="AN24" s="8"/>
      <c r="AO24" s="8"/>
      <c r="AP24" s="8"/>
      <c r="AQ24" s="8"/>
      <c r="AR24" s="8"/>
      <c r="AS24" s="8"/>
      <c r="AT24" s="8"/>
      <c r="AU24" s="8"/>
      <c r="AV24" s="8"/>
      <c r="AW24" s="8"/>
      <c r="AX24" s="8"/>
      <c r="AY24" s="8"/>
    </row>
    <row r="25" ht="17.45" customHeight="1">
      <c r="A25" t="s" s="250">
        <v>1234</v>
      </c>
      <c r="B25" s="251"/>
      <c r="C25" s="251"/>
      <c r="D25" t="s" s="250">
        <v>1189</v>
      </c>
      <c r="E25" t="s" s="250">
        <v>1235</v>
      </c>
      <c r="F25" t="s" s="250">
        <v>251</v>
      </c>
      <c r="G25" s="251"/>
      <c r="H25" s="253">
        <v>1</v>
      </c>
      <c r="I25" s="251"/>
      <c r="J25" s="251"/>
      <c r="K25" s="253">
        <v>1</v>
      </c>
      <c r="L25" s="251"/>
      <c r="M25" s="251"/>
      <c r="N25" s="251"/>
      <c r="O25" s="251"/>
      <c r="P25" s="251"/>
      <c r="Q25" s="255">
        <v>78</v>
      </c>
      <c r="R25" s="251"/>
      <c r="S25" s="251"/>
      <c r="T25" s="253">
        <v>1</v>
      </c>
      <c r="U25" s="251"/>
      <c r="V25" s="251"/>
      <c r="W25" s="251"/>
      <c r="X25" t="s" s="250">
        <v>1236</v>
      </c>
      <c r="Y25" s="251"/>
      <c r="Z25" s="253">
        <v>1</v>
      </c>
      <c r="AA25" s="253">
        <v>1</v>
      </c>
      <c r="AB25" s="251"/>
      <c r="AC25" s="251"/>
      <c r="AD25" t="s" s="250">
        <v>435</v>
      </c>
      <c r="AE25" s="252"/>
      <c r="AF25" s="8"/>
      <c r="AG25" s="8"/>
      <c r="AH25" s="8"/>
      <c r="AI25" s="8"/>
      <c r="AJ25" s="8"/>
      <c r="AK25" s="8"/>
      <c r="AL25" s="8"/>
      <c r="AM25" s="8"/>
      <c r="AN25" s="8"/>
      <c r="AO25" s="8"/>
      <c r="AP25" s="8"/>
      <c r="AQ25" s="8"/>
      <c r="AR25" s="8"/>
      <c r="AS25" s="8"/>
      <c r="AT25" s="8"/>
      <c r="AU25" s="8"/>
      <c r="AV25" s="8"/>
      <c r="AW25" s="8"/>
      <c r="AX25" s="8"/>
      <c r="AY25" s="8"/>
    </row>
    <row r="26" ht="17.45" customHeight="1">
      <c r="A26" t="s" s="250">
        <v>1234</v>
      </c>
      <c r="B26" s="251"/>
      <c r="C26" s="251"/>
      <c r="D26" t="s" s="250">
        <v>1189</v>
      </c>
      <c r="E26" t="s" s="250">
        <v>1235</v>
      </c>
      <c r="F26" t="s" s="250">
        <v>1237</v>
      </c>
      <c r="G26" s="253">
        <v>1</v>
      </c>
      <c r="H26" s="251"/>
      <c r="I26" s="251"/>
      <c r="J26" s="251"/>
      <c r="K26" s="251"/>
      <c r="L26" s="251"/>
      <c r="M26" s="253">
        <v>1</v>
      </c>
      <c r="N26" s="251"/>
      <c r="O26" s="251"/>
      <c r="P26" s="251"/>
      <c r="Q26" s="255">
        <v>51</v>
      </c>
      <c r="R26" s="251"/>
      <c r="S26" s="253">
        <v>1</v>
      </c>
      <c r="T26" s="251"/>
      <c r="U26" s="251"/>
      <c r="V26" s="251"/>
      <c r="W26" s="251"/>
      <c r="X26" s="251"/>
      <c r="Y26" s="251"/>
      <c r="Z26" s="251"/>
      <c r="AA26" s="251"/>
      <c r="AB26" s="251"/>
      <c r="AC26" s="251"/>
      <c r="AD26" s="251"/>
      <c r="AE26" s="252"/>
      <c r="AF26" s="8"/>
      <c r="AG26" s="8"/>
      <c r="AH26" s="8"/>
      <c r="AI26" s="8"/>
      <c r="AJ26" s="8"/>
      <c r="AK26" s="8"/>
      <c r="AL26" s="8"/>
      <c r="AM26" s="8"/>
      <c r="AN26" s="8"/>
      <c r="AO26" s="8"/>
      <c r="AP26" s="8"/>
      <c r="AQ26" s="8"/>
      <c r="AR26" s="8"/>
      <c r="AS26" s="8"/>
      <c r="AT26" s="8"/>
      <c r="AU26" s="8"/>
      <c r="AV26" s="8"/>
      <c r="AW26" s="8"/>
      <c r="AX26" s="8"/>
      <c r="AY26" s="8"/>
    </row>
    <row r="27" ht="17.45" customHeight="1">
      <c r="A27" t="s" s="250">
        <v>1234</v>
      </c>
      <c r="B27" s="251"/>
      <c r="C27" s="251"/>
      <c r="D27" t="s" s="250">
        <v>1189</v>
      </c>
      <c r="E27" t="s" s="250">
        <v>1235</v>
      </c>
      <c r="F27" t="s" s="250">
        <v>1238</v>
      </c>
      <c r="G27" s="253">
        <v>1</v>
      </c>
      <c r="H27" s="251"/>
      <c r="I27" s="251"/>
      <c r="J27" s="251"/>
      <c r="K27" s="251"/>
      <c r="L27" s="251"/>
      <c r="M27" s="253">
        <v>1</v>
      </c>
      <c r="N27" s="251"/>
      <c r="O27" s="251"/>
      <c r="P27" s="251"/>
      <c r="Q27" s="255">
        <v>46</v>
      </c>
      <c r="R27" s="251"/>
      <c r="S27" s="253">
        <v>1</v>
      </c>
      <c r="T27" s="251"/>
      <c r="U27" s="251"/>
      <c r="V27" s="251"/>
      <c r="W27" s="251"/>
      <c r="X27" s="251"/>
      <c r="Y27" s="251"/>
      <c r="Z27" s="251"/>
      <c r="AA27" s="251"/>
      <c r="AB27" s="251"/>
      <c r="AC27" s="251"/>
      <c r="AD27" s="251"/>
      <c r="AE27" s="252"/>
      <c r="AF27" s="8"/>
      <c r="AG27" s="8"/>
      <c r="AH27" s="8"/>
      <c r="AI27" s="8"/>
      <c r="AJ27" s="8"/>
      <c r="AK27" s="8"/>
      <c r="AL27" s="8"/>
      <c r="AM27" s="8"/>
      <c r="AN27" s="8"/>
      <c r="AO27" s="8"/>
      <c r="AP27" s="8"/>
      <c r="AQ27" s="8"/>
      <c r="AR27" s="8"/>
      <c r="AS27" s="8"/>
      <c r="AT27" s="8"/>
      <c r="AU27" s="8"/>
      <c r="AV27" s="8"/>
      <c r="AW27" s="8"/>
      <c r="AX27" s="8"/>
      <c r="AY27" s="8"/>
    </row>
    <row r="28" ht="17.45" customHeight="1">
      <c r="A28" t="s" s="250">
        <v>1234</v>
      </c>
      <c r="B28" s="251"/>
      <c r="C28" s="251"/>
      <c r="D28" t="s" s="250">
        <v>1189</v>
      </c>
      <c r="E28" t="s" s="250">
        <v>1235</v>
      </c>
      <c r="F28" t="s" s="250">
        <v>820</v>
      </c>
      <c r="G28" s="253">
        <v>1</v>
      </c>
      <c r="H28" s="251"/>
      <c r="I28" s="251"/>
      <c r="J28" s="251"/>
      <c r="K28" s="251"/>
      <c r="L28" s="251"/>
      <c r="M28" s="253">
        <v>1</v>
      </c>
      <c r="N28" s="251"/>
      <c r="O28" s="251"/>
      <c r="P28" s="251"/>
      <c r="Q28" s="255">
        <v>36</v>
      </c>
      <c r="R28" s="251"/>
      <c r="S28" s="253">
        <v>1</v>
      </c>
      <c r="T28" s="251"/>
      <c r="U28" s="251"/>
      <c r="V28" s="251"/>
      <c r="W28" s="251"/>
      <c r="X28" s="251"/>
      <c r="Y28" s="251"/>
      <c r="Z28" s="251"/>
      <c r="AA28" s="251"/>
      <c r="AB28" s="251"/>
      <c r="AC28" s="251"/>
      <c r="AD28" s="251"/>
      <c r="AE28" s="252"/>
      <c r="AF28" s="8"/>
      <c r="AG28" s="8"/>
      <c r="AH28" s="8"/>
      <c r="AI28" s="8"/>
      <c r="AJ28" s="8"/>
      <c r="AK28" s="8"/>
      <c r="AL28" s="8"/>
      <c r="AM28" s="8"/>
      <c r="AN28" s="8"/>
      <c r="AO28" s="8"/>
      <c r="AP28" s="8"/>
      <c r="AQ28" s="8"/>
      <c r="AR28" s="8"/>
      <c r="AS28" s="8"/>
      <c r="AT28" s="8"/>
      <c r="AU28" s="8"/>
      <c r="AV28" s="8"/>
      <c r="AW28" s="8"/>
      <c r="AX28" s="8"/>
      <c r="AY28" s="8"/>
    </row>
    <row r="29" ht="17.45" customHeight="1">
      <c r="A29" t="s" s="250">
        <v>1234</v>
      </c>
      <c r="B29" s="251"/>
      <c r="C29" s="251"/>
      <c r="D29" t="s" s="250">
        <v>1189</v>
      </c>
      <c r="E29" t="s" s="250">
        <v>1239</v>
      </c>
      <c r="F29" t="s" s="250">
        <v>1238</v>
      </c>
      <c r="G29" s="253">
        <v>1</v>
      </c>
      <c r="H29" s="251"/>
      <c r="I29" s="251"/>
      <c r="J29" s="251"/>
      <c r="K29" s="251"/>
      <c r="L29" s="251"/>
      <c r="M29" s="253">
        <v>1</v>
      </c>
      <c r="N29" s="251"/>
      <c r="O29" s="251"/>
      <c r="P29" s="253">
        <v>1</v>
      </c>
      <c r="Q29" s="255">
        <v>29</v>
      </c>
      <c r="R29" s="251"/>
      <c r="S29" s="253">
        <v>1</v>
      </c>
      <c r="T29" s="251"/>
      <c r="U29" s="251"/>
      <c r="V29" s="251"/>
      <c r="W29" s="251"/>
      <c r="X29" t="s" s="250">
        <v>231</v>
      </c>
      <c r="Y29" s="251"/>
      <c r="Z29" s="253">
        <v>1</v>
      </c>
      <c r="AA29" s="251"/>
      <c r="AB29" s="251"/>
      <c r="AC29" s="251"/>
      <c r="AD29" t="s" s="250">
        <v>1240</v>
      </c>
      <c r="AE29" s="252"/>
      <c r="AF29" s="8"/>
      <c r="AG29" s="8"/>
      <c r="AH29" s="8"/>
      <c r="AI29" s="8"/>
      <c r="AJ29" s="8"/>
      <c r="AK29" s="8"/>
      <c r="AL29" s="8"/>
      <c r="AM29" s="8"/>
      <c r="AN29" s="8"/>
      <c r="AO29" s="8"/>
      <c r="AP29" s="8"/>
      <c r="AQ29" s="8"/>
      <c r="AR29" s="8"/>
      <c r="AS29" s="8"/>
      <c r="AT29" s="8"/>
      <c r="AU29" s="8"/>
      <c r="AV29" s="8"/>
      <c r="AW29" s="8"/>
      <c r="AX29" s="8"/>
      <c r="AY29" s="8"/>
    </row>
    <row r="30" ht="17.45" customHeight="1">
      <c r="A30" t="s" s="250">
        <v>1234</v>
      </c>
      <c r="B30" s="251"/>
      <c r="C30" s="251"/>
      <c r="D30" t="s" s="250">
        <v>1189</v>
      </c>
      <c r="E30" t="s" s="250">
        <v>1241</v>
      </c>
      <c r="F30" t="s" s="250">
        <v>51</v>
      </c>
      <c r="G30" s="253">
        <v>1</v>
      </c>
      <c r="H30" s="251"/>
      <c r="I30" s="251"/>
      <c r="J30" s="251"/>
      <c r="K30" s="251"/>
      <c r="L30" s="251"/>
      <c r="M30" s="251"/>
      <c r="N30" s="251"/>
      <c r="O30" s="251"/>
      <c r="P30" s="253">
        <v>1</v>
      </c>
      <c r="Q30" s="255">
        <v>28</v>
      </c>
      <c r="R30" s="251"/>
      <c r="S30" s="253">
        <v>1</v>
      </c>
      <c r="T30" s="251"/>
      <c r="U30" s="251"/>
      <c r="V30" s="251"/>
      <c r="W30" s="251"/>
      <c r="X30" t="s" s="250">
        <v>231</v>
      </c>
      <c r="Y30" s="251"/>
      <c r="Z30" s="253">
        <v>1</v>
      </c>
      <c r="AA30" s="251"/>
      <c r="AB30" s="251"/>
      <c r="AC30" s="251"/>
      <c r="AD30" t="s" s="250">
        <v>1242</v>
      </c>
      <c r="AE30" s="252"/>
      <c r="AF30" s="8"/>
      <c r="AG30" s="8"/>
      <c r="AH30" s="8"/>
      <c r="AI30" s="8"/>
      <c r="AJ30" s="8"/>
      <c r="AK30" s="8"/>
      <c r="AL30" s="8"/>
      <c r="AM30" s="8"/>
      <c r="AN30" s="8"/>
      <c r="AO30" s="8"/>
      <c r="AP30" s="8"/>
      <c r="AQ30" s="8"/>
      <c r="AR30" s="8"/>
      <c r="AS30" s="8"/>
      <c r="AT30" s="8"/>
      <c r="AU30" s="8"/>
      <c r="AV30" s="8"/>
      <c r="AW30" s="8"/>
      <c r="AX30" s="8"/>
      <c r="AY30" s="8"/>
    </row>
    <row r="31" ht="17.45" customHeight="1">
      <c r="A31" t="s" s="250">
        <v>1243</v>
      </c>
      <c r="B31" s="251"/>
      <c r="C31" s="251"/>
      <c r="D31" t="s" s="250">
        <v>1189</v>
      </c>
      <c r="E31" t="s" s="250">
        <v>444</v>
      </c>
      <c r="F31" t="s" s="250">
        <v>1244</v>
      </c>
      <c r="G31" s="253">
        <v>1</v>
      </c>
      <c r="H31" s="251"/>
      <c r="I31" s="251"/>
      <c r="J31" s="251"/>
      <c r="K31" s="251"/>
      <c r="L31" s="251"/>
      <c r="M31" s="251"/>
      <c r="N31" s="251"/>
      <c r="O31" s="251"/>
      <c r="P31" s="253">
        <v>1</v>
      </c>
      <c r="Q31" s="255">
        <v>22</v>
      </c>
      <c r="R31" s="251"/>
      <c r="S31" s="253">
        <v>1</v>
      </c>
      <c r="T31" s="251"/>
      <c r="U31" s="251"/>
      <c r="V31" s="251"/>
      <c r="W31" s="251"/>
      <c r="X31" t="s" s="250">
        <v>231</v>
      </c>
      <c r="Y31" s="251"/>
      <c r="Z31" s="253">
        <v>1</v>
      </c>
      <c r="AA31" s="251"/>
      <c r="AB31" s="251"/>
      <c r="AC31" s="253">
        <v>1</v>
      </c>
      <c r="AD31" s="251"/>
      <c r="AE31" s="252"/>
      <c r="AF31" s="8"/>
      <c r="AG31" s="8"/>
      <c r="AH31" s="8"/>
      <c r="AI31" s="8"/>
      <c r="AJ31" s="8"/>
      <c r="AK31" s="8"/>
      <c r="AL31" s="8"/>
      <c r="AM31" s="8"/>
      <c r="AN31" s="8"/>
      <c r="AO31" s="8"/>
      <c r="AP31" s="8"/>
      <c r="AQ31" s="8"/>
      <c r="AR31" s="8"/>
      <c r="AS31" s="8"/>
      <c r="AT31" s="8"/>
      <c r="AU31" s="8"/>
      <c r="AV31" s="8"/>
      <c r="AW31" s="8"/>
      <c r="AX31" s="8"/>
      <c r="AY31" s="8"/>
    </row>
    <row r="32" ht="17.45" customHeight="1">
      <c r="A32" t="s" s="250">
        <v>1243</v>
      </c>
      <c r="B32" s="251"/>
      <c r="C32" s="253">
        <v>1</v>
      </c>
      <c r="D32" t="s" s="250">
        <v>1189</v>
      </c>
      <c r="E32" t="s" s="250">
        <v>1245</v>
      </c>
      <c r="F32" t="s" s="250">
        <v>1246</v>
      </c>
      <c r="G32" s="251"/>
      <c r="H32" s="253">
        <v>1</v>
      </c>
      <c r="I32" s="251"/>
      <c r="J32" s="251"/>
      <c r="K32" s="253">
        <v>1</v>
      </c>
      <c r="L32" s="251"/>
      <c r="M32" s="251"/>
      <c r="N32" s="251"/>
      <c r="O32" s="251"/>
      <c r="P32" s="251"/>
      <c r="Q32" s="255">
        <v>63</v>
      </c>
      <c r="R32" s="253">
        <v>1</v>
      </c>
      <c r="S32" s="251"/>
      <c r="T32" s="251"/>
      <c r="U32" s="251"/>
      <c r="V32" s="251"/>
      <c r="W32" s="251"/>
      <c r="X32" t="s" s="250">
        <v>1247</v>
      </c>
      <c r="Y32" s="251"/>
      <c r="Z32" s="253">
        <v>1</v>
      </c>
      <c r="AA32" s="253">
        <v>1</v>
      </c>
      <c r="AB32" s="251"/>
      <c r="AC32" s="251"/>
      <c r="AD32" t="s" s="250">
        <v>1248</v>
      </c>
      <c r="AE32" s="252"/>
      <c r="AF32" s="8"/>
      <c r="AG32" s="8"/>
      <c r="AH32" s="8"/>
      <c r="AI32" s="8"/>
      <c r="AJ32" s="8"/>
      <c r="AK32" s="8"/>
      <c r="AL32" s="8"/>
      <c r="AM32" s="8"/>
      <c r="AN32" s="8"/>
      <c r="AO32" s="8"/>
      <c r="AP32" s="8"/>
      <c r="AQ32" s="8"/>
      <c r="AR32" s="8"/>
      <c r="AS32" s="8"/>
      <c r="AT32" s="8"/>
      <c r="AU32" s="8"/>
      <c r="AV32" s="8"/>
      <c r="AW32" s="8"/>
      <c r="AX32" s="8"/>
      <c r="AY32" s="8"/>
    </row>
    <row r="33" ht="17.45" customHeight="1">
      <c r="A33" t="s" s="250">
        <v>1243</v>
      </c>
      <c r="B33" s="251"/>
      <c r="C33" s="253">
        <v>1</v>
      </c>
      <c r="D33" t="s" s="250">
        <v>1189</v>
      </c>
      <c r="E33" t="s" s="250">
        <v>1245</v>
      </c>
      <c r="F33" t="s" s="250">
        <v>1249</v>
      </c>
      <c r="G33" s="253">
        <v>1</v>
      </c>
      <c r="H33" s="251"/>
      <c r="I33" s="251"/>
      <c r="J33" s="251"/>
      <c r="K33" s="251"/>
      <c r="L33" s="253">
        <v>1</v>
      </c>
      <c r="M33" s="251"/>
      <c r="N33" s="251"/>
      <c r="O33" s="251"/>
      <c r="P33" s="251"/>
      <c r="Q33" s="255">
        <v>56</v>
      </c>
      <c r="R33" s="253">
        <v>1</v>
      </c>
      <c r="S33" s="251"/>
      <c r="T33" s="251"/>
      <c r="U33" s="253">
        <v>30</v>
      </c>
      <c r="V33" s="253">
        <v>2</v>
      </c>
      <c r="W33" s="253">
        <v>2</v>
      </c>
      <c r="X33" s="251"/>
      <c r="Y33" s="251"/>
      <c r="Z33" s="251"/>
      <c r="AA33" s="251"/>
      <c r="AB33" s="251"/>
      <c r="AC33" s="251"/>
      <c r="AD33" t="s" s="250">
        <v>1250</v>
      </c>
      <c r="AE33" s="252"/>
      <c r="AF33" s="8"/>
      <c r="AG33" s="8"/>
      <c r="AH33" s="8"/>
      <c r="AI33" s="8"/>
      <c r="AJ33" s="8"/>
      <c r="AK33" s="8"/>
      <c r="AL33" s="8"/>
      <c r="AM33" s="8"/>
      <c r="AN33" s="8"/>
      <c r="AO33" s="8"/>
      <c r="AP33" s="8"/>
      <c r="AQ33" s="8"/>
      <c r="AR33" s="8"/>
      <c r="AS33" s="8"/>
      <c r="AT33" s="8"/>
      <c r="AU33" s="8"/>
      <c r="AV33" s="8"/>
      <c r="AW33" s="8"/>
      <c r="AX33" s="8"/>
      <c r="AY33" s="8"/>
    </row>
    <row r="34" ht="17.45" customHeight="1">
      <c r="A34" t="s" s="250">
        <v>1243</v>
      </c>
      <c r="B34" s="251"/>
      <c r="C34" s="253">
        <v>1</v>
      </c>
      <c r="D34" t="s" s="250">
        <v>1189</v>
      </c>
      <c r="E34" t="s" s="250">
        <v>1245</v>
      </c>
      <c r="F34" t="s" s="250">
        <v>1246</v>
      </c>
      <c r="G34" s="251"/>
      <c r="H34" s="253">
        <v>1</v>
      </c>
      <c r="I34" s="251"/>
      <c r="J34" s="251"/>
      <c r="K34" s="251"/>
      <c r="L34" s="251"/>
      <c r="M34" s="251"/>
      <c r="N34" s="253">
        <v>1</v>
      </c>
      <c r="O34" s="251"/>
      <c r="P34" s="251"/>
      <c r="Q34" s="255">
        <v>29</v>
      </c>
      <c r="R34" s="251"/>
      <c r="S34" s="251"/>
      <c r="T34" s="251"/>
      <c r="U34" s="251"/>
      <c r="V34" s="251"/>
      <c r="W34" s="251"/>
      <c r="X34" t="s" s="250">
        <v>337</v>
      </c>
      <c r="Y34" s="251"/>
      <c r="Z34" s="253">
        <v>1</v>
      </c>
      <c r="AA34" s="253">
        <v>1</v>
      </c>
      <c r="AB34" s="251"/>
      <c r="AC34" s="251"/>
      <c r="AD34" t="s" s="250">
        <v>1250</v>
      </c>
      <c r="AE34" s="252"/>
      <c r="AF34" s="8"/>
      <c r="AG34" s="8"/>
      <c r="AH34" s="8"/>
      <c r="AI34" s="8"/>
      <c r="AJ34" s="8"/>
      <c r="AK34" s="8"/>
      <c r="AL34" s="8"/>
      <c r="AM34" s="8"/>
      <c r="AN34" s="8"/>
      <c r="AO34" s="8"/>
      <c r="AP34" s="8"/>
      <c r="AQ34" s="8"/>
      <c r="AR34" s="8"/>
      <c r="AS34" s="8"/>
      <c r="AT34" s="8"/>
      <c r="AU34" s="8"/>
      <c r="AV34" s="8"/>
      <c r="AW34" s="8"/>
      <c r="AX34" s="8"/>
      <c r="AY34" s="8"/>
    </row>
    <row r="35" ht="17.45" customHeight="1">
      <c r="A35" t="s" s="250">
        <v>1243</v>
      </c>
      <c r="B35" s="251"/>
      <c r="C35" s="253">
        <v>1</v>
      </c>
      <c r="D35" t="s" s="250">
        <v>1189</v>
      </c>
      <c r="E35" t="s" s="250">
        <v>1245</v>
      </c>
      <c r="F35" t="s" s="250">
        <v>392</v>
      </c>
      <c r="G35" s="251"/>
      <c r="H35" s="253">
        <v>1</v>
      </c>
      <c r="I35" s="251"/>
      <c r="J35" s="251"/>
      <c r="K35" s="251"/>
      <c r="L35" s="251"/>
      <c r="M35" s="251"/>
      <c r="N35" s="253">
        <v>1</v>
      </c>
      <c r="O35" s="251"/>
      <c r="P35" s="251"/>
      <c r="Q35" s="255">
        <v>34</v>
      </c>
      <c r="R35" s="251"/>
      <c r="S35" s="251"/>
      <c r="T35" s="251"/>
      <c r="U35" s="251"/>
      <c r="V35" s="251"/>
      <c r="W35" s="251"/>
      <c r="X35" t="s" s="250">
        <v>1251</v>
      </c>
      <c r="Y35" s="251"/>
      <c r="Z35" s="253">
        <v>1</v>
      </c>
      <c r="AA35" s="251"/>
      <c r="AB35" s="253">
        <v>1</v>
      </c>
      <c r="AC35" s="251"/>
      <c r="AD35" t="s" s="250">
        <v>1252</v>
      </c>
      <c r="AE35" s="252"/>
      <c r="AF35" s="8"/>
      <c r="AG35" s="8"/>
      <c r="AH35" s="8"/>
      <c r="AI35" s="8"/>
      <c r="AJ35" s="8"/>
      <c r="AK35" s="8"/>
      <c r="AL35" s="8"/>
      <c r="AM35" s="8"/>
      <c r="AN35" s="8"/>
      <c r="AO35" s="8"/>
      <c r="AP35" s="8"/>
      <c r="AQ35" s="8"/>
      <c r="AR35" s="8"/>
      <c r="AS35" s="8"/>
      <c r="AT35" s="8"/>
      <c r="AU35" s="8"/>
      <c r="AV35" s="8"/>
      <c r="AW35" s="8"/>
      <c r="AX35" s="8"/>
      <c r="AY35" s="8"/>
    </row>
    <row r="36" ht="17.45" customHeight="1">
      <c r="A36" t="s" s="250">
        <v>1243</v>
      </c>
      <c r="B36" s="251"/>
      <c r="C36" s="253">
        <v>1</v>
      </c>
      <c r="D36" t="s" s="250">
        <v>1189</v>
      </c>
      <c r="E36" t="s" s="250">
        <v>1253</v>
      </c>
      <c r="F36" t="s" s="250">
        <v>267</v>
      </c>
      <c r="G36" s="253">
        <v>1</v>
      </c>
      <c r="H36" s="251"/>
      <c r="I36" s="251"/>
      <c r="J36" s="251"/>
      <c r="K36" s="251"/>
      <c r="L36" s="251"/>
      <c r="M36" s="251"/>
      <c r="N36" s="251"/>
      <c r="O36" s="251"/>
      <c r="P36" s="253">
        <v>1</v>
      </c>
      <c r="Q36" s="255">
        <v>39</v>
      </c>
      <c r="R36" s="251"/>
      <c r="S36" s="251"/>
      <c r="T36" s="251"/>
      <c r="U36" s="251"/>
      <c r="V36" s="251"/>
      <c r="W36" s="251"/>
      <c r="X36" t="s" s="250">
        <v>33</v>
      </c>
      <c r="Y36" s="251"/>
      <c r="Z36" s="253">
        <v>1</v>
      </c>
      <c r="AA36" s="251"/>
      <c r="AB36" s="253">
        <v>1</v>
      </c>
      <c r="AC36" s="251"/>
      <c r="AD36" t="s" s="250">
        <v>351</v>
      </c>
      <c r="AE36" s="252"/>
      <c r="AF36" s="8"/>
      <c r="AG36" s="8"/>
      <c r="AH36" s="8"/>
      <c r="AI36" s="8"/>
      <c r="AJ36" s="8"/>
      <c r="AK36" s="8"/>
      <c r="AL36" s="8"/>
      <c r="AM36" s="8"/>
      <c r="AN36" s="8"/>
      <c r="AO36" s="8"/>
      <c r="AP36" s="8"/>
      <c r="AQ36" s="8"/>
      <c r="AR36" s="8"/>
      <c r="AS36" s="8"/>
      <c r="AT36" s="8"/>
      <c r="AU36" s="8"/>
      <c r="AV36" s="8"/>
      <c r="AW36" s="8"/>
      <c r="AX36" s="8"/>
      <c r="AY36" s="8"/>
    </row>
    <row r="37" ht="17.45" customHeight="1">
      <c r="A37" t="s" s="250">
        <v>1243</v>
      </c>
      <c r="B37" s="251"/>
      <c r="C37" s="253">
        <v>1</v>
      </c>
      <c r="D37" t="s" s="250">
        <v>1189</v>
      </c>
      <c r="E37" t="s" s="250">
        <v>1254</v>
      </c>
      <c r="F37" t="s" s="250">
        <v>1255</v>
      </c>
      <c r="G37" s="253">
        <v>1</v>
      </c>
      <c r="H37" s="251"/>
      <c r="I37" s="251"/>
      <c r="J37" s="251"/>
      <c r="K37" s="251"/>
      <c r="L37" s="251"/>
      <c r="M37" s="251"/>
      <c r="N37" s="251"/>
      <c r="O37" s="251"/>
      <c r="P37" s="253">
        <v>1</v>
      </c>
      <c r="Q37" s="255">
        <v>20</v>
      </c>
      <c r="R37" s="251"/>
      <c r="S37" s="251"/>
      <c r="T37" s="251"/>
      <c r="U37" s="251"/>
      <c r="V37" s="251"/>
      <c r="W37" s="251"/>
      <c r="X37" t="s" s="250">
        <v>33</v>
      </c>
      <c r="Y37" s="251"/>
      <c r="Z37" s="253">
        <v>1</v>
      </c>
      <c r="AA37" s="251"/>
      <c r="AB37" s="253">
        <v>1</v>
      </c>
      <c r="AC37" s="251"/>
      <c r="AD37" t="s" s="250">
        <v>902</v>
      </c>
      <c r="AE37" s="252"/>
      <c r="AF37" s="8"/>
      <c r="AG37" s="8"/>
      <c r="AH37" s="8"/>
      <c r="AI37" s="8"/>
      <c r="AJ37" s="8"/>
      <c r="AK37" s="8"/>
      <c r="AL37" s="8"/>
      <c r="AM37" s="8"/>
      <c r="AN37" s="8"/>
      <c r="AO37" s="8"/>
      <c r="AP37" s="8"/>
      <c r="AQ37" s="8"/>
      <c r="AR37" s="8"/>
      <c r="AS37" s="8"/>
      <c r="AT37" s="8"/>
      <c r="AU37" s="8"/>
      <c r="AV37" s="8"/>
      <c r="AW37" s="8"/>
      <c r="AX37" s="8"/>
      <c r="AY37" s="8"/>
    </row>
    <row r="38" ht="17" customHeight="1">
      <c r="A38" t="s" s="265">
        <v>285</v>
      </c>
      <c r="B38" s="266">
        <v>6</v>
      </c>
      <c r="C38" s="267"/>
      <c r="D38" s="267"/>
      <c r="E38" s="266">
        <v>23</v>
      </c>
      <c r="F38" s="266">
        <v>35</v>
      </c>
      <c r="G38" s="266">
        <f>SUM(G3:G37)</f>
        <v>25</v>
      </c>
      <c r="H38" s="266">
        <f>SUM(H3:H37)</f>
        <v>10</v>
      </c>
      <c r="I38" s="266">
        <f>SUM(I3:I37)</f>
        <v>0</v>
      </c>
      <c r="J38" s="266">
        <f>SUM(J3:J37)</f>
        <v>0</v>
      </c>
      <c r="K38" s="266">
        <f>SUM(K3:K37)</f>
        <v>5</v>
      </c>
      <c r="L38" s="266">
        <f>SUM(L3:L37)</f>
        <v>4</v>
      </c>
      <c r="M38" s="266">
        <f>SUM(M3:M37)</f>
        <v>5</v>
      </c>
      <c r="N38" s="266">
        <f>SUM(N3:N37)</f>
        <v>5</v>
      </c>
      <c r="O38" s="266">
        <v>1</v>
      </c>
      <c r="P38" s="266">
        <f>SUM(P3:P37)</f>
        <v>16</v>
      </c>
      <c r="Q38" s="266">
        <f>SUM(Q3:Q37)</f>
        <v>1416</v>
      </c>
      <c r="R38" s="266">
        <f>SUM(R3:R37)</f>
        <v>7</v>
      </c>
      <c r="S38" s="266">
        <f>SUM(S3:S37)</f>
        <v>21</v>
      </c>
      <c r="T38" s="266">
        <f>SUM(T3:T37)</f>
        <v>3</v>
      </c>
      <c r="U38" s="266">
        <f>SUM(U3:U37)</f>
        <v>129</v>
      </c>
      <c r="V38" s="266">
        <f>SUM(V3:V37)</f>
        <v>8</v>
      </c>
      <c r="W38" s="266">
        <f>SUM(W3:W37)</f>
        <v>8</v>
      </c>
      <c r="X38" s="266">
        <f>SUM(X3:X37)</f>
        <v>0</v>
      </c>
      <c r="Y38" s="266">
        <f>SUM(Y3:Y37)</f>
        <v>0</v>
      </c>
      <c r="Z38" s="266">
        <f>SUM(Z3:Z37)</f>
        <v>24</v>
      </c>
      <c r="AA38" s="266">
        <f>SUM(AA3:AA37)</f>
        <v>4</v>
      </c>
      <c r="AB38" s="266">
        <f>SUM(AB3:AB37)</f>
        <v>3</v>
      </c>
      <c r="AC38" s="266">
        <f>SUM(AC3:AC37)</f>
        <v>11</v>
      </c>
      <c r="AD38" s="266">
        <v>24</v>
      </c>
      <c r="AE38" s="8"/>
      <c r="AF38" s="8"/>
      <c r="AG38" s="8"/>
      <c r="AH38" s="8"/>
      <c r="AI38" s="8"/>
      <c r="AJ38" s="8"/>
      <c r="AK38" s="8"/>
      <c r="AL38" s="8"/>
      <c r="AM38" s="8"/>
      <c r="AN38" s="8"/>
      <c r="AO38" s="8"/>
      <c r="AP38" s="8"/>
      <c r="AQ38" s="8"/>
      <c r="AR38" s="8"/>
      <c r="AS38" s="8"/>
      <c r="AT38" s="8"/>
      <c r="AU38" s="8"/>
      <c r="AV38" s="8"/>
      <c r="AW38" s="8"/>
      <c r="AX38" s="8"/>
      <c r="AY38" s="8"/>
    </row>
    <row r="39" ht="17" customHeight="1">
      <c r="A39" s="251"/>
      <c r="B39" s="251"/>
      <c r="C39" s="251"/>
      <c r="D39" s="251"/>
      <c r="E39" s="251"/>
      <c r="F39" s="251"/>
      <c r="G39" s="251"/>
      <c r="H39" s="251"/>
      <c r="I39" s="251"/>
      <c r="J39" s="251"/>
      <c r="K39" s="253">
        <f>K38+L38+M38+N38+P38+O38</f>
        <v>36</v>
      </c>
      <c r="L39" s="251"/>
      <c r="M39" s="251"/>
      <c r="N39" s="251"/>
      <c r="O39" s="251"/>
      <c r="P39" s="251"/>
      <c r="Q39" s="268">
        <f>A45:AY45</f>
        <v>39.3333333333333</v>
      </c>
      <c r="R39" s="251"/>
      <c r="S39" s="251"/>
      <c r="T39" s="251"/>
      <c r="U39" s="251"/>
      <c r="V39" s="251"/>
      <c r="W39" s="251"/>
      <c r="X39" s="251"/>
      <c r="Y39" s="251"/>
      <c r="Z39" s="251"/>
      <c r="AA39" s="251"/>
      <c r="AB39" s="251"/>
      <c r="AC39" s="253">
        <f>F38-AC38</f>
        <v>24</v>
      </c>
      <c r="AD39" s="251"/>
      <c r="AE39" s="252"/>
      <c r="AF39" s="8"/>
      <c r="AG39" s="8"/>
      <c r="AH39" s="8"/>
      <c r="AI39" s="8"/>
      <c r="AJ39" s="8"/>
      <c r="AK39" s="8"/>
      <c r="AL39" s="8"/>
      <c r="AM39" s="8"/>
      <c r="AN39" s="8"/>
      <c r="AO39" s="8"/>
      <c r="AP39" s="8"/>
      <c r="AQ39" s="8"/>
      <c r="AR39" s="8"/>
      <c r="AS39" s="8"/>
      <c r="AT39" s="8"/>
      <c r="AU39" s="8"/>
      <c r="AV39" s="8"/>
      <c r="AW39" s="8"/>
      <c r="AX39" s="8"/>
      <c r="AY39" s="8"/>
    </row>
    <row r="40" ht="17" customHeight="1">
      <c r="A40" s="262"/>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8"/>
      <c r="AF40" s="8"/>
      <c r="AG40" s="8"/>
      <c r="AH40" s="8"/>
      <c r="AI40" s="8"/>
      <c r="AJ40" s="8"/>
      <c r="AK40" s="8"/>
      <c r="AL40" s="8"/>
      <c r="AM40" s="8"/>
      <c r="AN40" s="8"/>
      <c r="AO40" s="8"/>
      <c r="AP40" s="8"/>
      <c r="AQ40" s="8"/>
      <c r="AR40" s="8"/>
      <c r="AS40" s="8"/>
      <c r="AT40" s="8"/>
      <c r="AU40" s="8"/>
      <c r="AV40" s="8"/>
      <c r="AW40" s="8"/>
      <c r="AX40" s="8"/>
      <c r="AY40" s="8"/>
    </row>
    <row r="41" ht="17"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row>
    <row r="42" ht="17"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row>
    <row r="43" ht="17"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row>
    <row r="44" ht="17"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row>
    <row r="45" ht="17.45" customHeight="1">
      <c r="A45" s="8"/>
      <c r="B45" s="8"/>
      <c r="C45" s="8"/>
      <c r="D45" s="8"/>
      <c r="E45" s="8"/>
      <c r="F45" s="8"/>
      <c r="G45" s="9">
        <f>G38+H38+I38+J38</f>
        <v>35</v>
      </c>
      <c r="H45" s="8"/>
      <c r="I45" s="8"/>
      <c r="J45" s="8"/>
      <c r="K45" s="9">
        <f>K38+L38+M38+N38+O38+P38</f>
        <v>36</v>
      </c>
      <c r="L45" s="8"/>
      <c r="M45" s="36"/>
      <c r="N45" s="36"/>
      <c r="O45" s="36"/>
      <c r="P45" s="36"/>
      <c r="Q45" s="35">
        <f>Q38/K45</f>
        <v>39.3333333333333</v>
      </c>
      <c r="R45" s="36"/>
      <c r="S45" s="36"/>
      <c r="T45" s="36"/>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AY59"/>
  <sheetViews>
    <sheetView workbookViewId="0" showGridLines="0" defaultGridColor="1"/>
  </sheetViews>
  <sheetFormatPr defaultColWidth="10.8333" defaultRowHeight="16" customHeight="1" outlineLevelRow="0" outlineLevelCol="0"/>
  <cols>
    <col min="1" max="2" width="10.8516" style="269" customWidth="1"/>
    <col min="3" max="3" width="5.67188" style="269" customWidth="1"/>
    <col min="4" max="4" width="19.3516" style="269" customWidth="1"/>
    <col min="5" max="5" width="10.8516" style="269" customWidth="1"/>
    <col min="6" max="6" width="16" style="269" customWidth="1"/>
    <col min="7" max="16" width="10.8516" style="269" customWidth="1"/>
    <col min="17" max="17" width="11.6719" style="269" customWidth="1"/>
    <col min="18" max="25" width="10.8516" style="269" customWidth="1"/>
    <col min="26" max="26" width="12.3516" style="269" customWidth="1"/>
    <col min="27" max="30" width="10.8516" style="269" customWidth="1"/>
    <col min="31" max="31" width="27.5" style="269" customWidth="1"/>
    <col min="32" max="51" width="10.8516" style="269" customWidth="1"/>
    <col min="52" max="16384" width="10.8516" style="269" customWidth="1"/>
  </cols>
  <sheetData>
    <row r="1" ht="47" customHeight="1">
      <c r="A1" t="s" s="123">
        <v>6</v>
      </c>
      <c r="B1" t="s" s="123">
        <v>7</v>
      </c>
      <c r="C1" t="s" s="7">
        <v>8</v>
      </c>
      <c r="D1" t="s" s="14">
        <v>9</v>
      </c>
      <c r="E1" t="s" s="7">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240">
        <v>119</v>
      </c>
      <c r="B2" t="s" s="241">
        <v>120</v>
      </c>
      <c r="C2" s="242"/>
      <c r="D2" s="90"/>
      <c r="E2" s="243"/>
      <c r="F2" s="90"/>
      <c r="G2" t="s" s="91">
        <v>24</v>
      </c>
      <c r="H2" t="s" s="91">
        <v>25</v>
      </c>
      <c r="I2" t="s" s="91">
        <v>26</v>
      </c>
      <c r="J2" t="s" s="244">
        <v>27</v>
      </c>
      <c r="K2" t="s" s="245">
        <v>28</v>
      </c>
      <c r="L2" t="s" s="246">
        <v>29</v>
      </c>
      <c r="M2" t="s" s="91">
        <v>30</v>
      </c>
      <c r="N2" t="s" s="91">
        <v>31</v>
      </c>
      <c r="O2" t="s" s="91">
        <v>32</v>
      </c>
      <c r="P2" t="s" s="244">
        <v>33</v>
      </c>
      <c r="Q2" t="s" s="247">
        <v>121</v>
      </c>
      <c r="R2" t="s" s="245">
        <v>122</v>
      </c>
      <c r="S2" t="s" s="245">
        <v>123</v>
      </c>
      <c r="T2" t="s" s="248">
        <v>124</v>
      </c>
      <c r="U2" s="90"/>
      <c r="V2" s="90"/>
      <c r="W2" s="90"/>
      <c r="X2" s="90"/>
      <c r="Y2" s="90"/>
      <c r="Z2" s="90"/>
      <c r="AA2" t="s" s="91">
        <v>35</v>
      </c>
      <c r="AB2" t="s" s="91">
        <v>125</v>
      </c>
      <c r="AC2" t="s" s="91">
        <v>37</v>
      </c>
      <c r="AD2" t="s" s="249">
        <v>32</v>
      </c>
      <c r="AE2" s="8"/>
      <c r="AF2" s="8"/>
      <c r="AG2" s="8"/>
      <c r="AH2" s="8"/>
      <c r="AI2" s="8"/>
      <c r="AJ2" s="8"/>
      <c r="AK2" s="8"/>
      <c r="AL2" s="8"/>
      <c r="AM2" s="8"/>
      <c r="AN2" s="8"/>
      <c r="AO2" s="8"/>
      <c r="AP2" s="8"/>
      <c r="AQ2" s="8"/>
      <c r="AR2" s="8"/>
      <c r="AS2" s="8"/>
      <c r="AT2" s="8"/>
      <c r="AU2" s="8"/>
      <c r="AV2" s="8"/>
      <c r="AW2" s="8"/>
      <c r="AX2" s="8"/>
      <c r="AY2" s="8"/>
    </row>
    <row r="3" ht="17.45" customHeight="1">
      <c r="A3" t="s" s="250">
        <v>1257</v>
      </c>
      <c r="B3" s="251"/>
      <c r="C3" s="253">
        <v>15</v>
      </c>
      <c r="D3" t="s" s="250">
        <v>1258</v>
      </c>
      <c r="E3" t="s" s="250">
        <v>1259</v>
      </c>
      <c r="F3" t="s" s="250">
        <v>1260</v>
      </c>
      <c r="G3" s="251"/>
      <c r="H3" s="253">
        <v>1</v>
      </c>
      <c r="I3" s="251"/>
      <c r="J3" s="251"/>
      <c r="K3" s="253">
        <v>1</v>
      </c>
      <c r="L3" s="251"/>
      <c r="M3" s="251"/>
      <c r="N3" s="251"/>
      <c r="O3" s="251"/>
      <c r="P3" s="251"/>
      <c r="Q3" s="255">
        <v>48</v>
      </c>
      <c r="R3" s="253">
        <v>1</v>
      </c>
      <c r="S3" s="251"/>
      <c r="T3" s="251"/>
      <c r="U3" s="251"/>
      <c r="V3" s="251"/>
      <c r="W3" s="251"/>
      <c r="X3" t="s" s="250">
        <v>564</v>
      </c>
      <c r="Y3" s="251"/>
      <c r="Z3" s="253">
        <v>1</v>
      </c>
      <c r="AA3" s="253">
        <v>1</v>
      </c>
      <c r="AB3" s="251"/>
      <c r="AC3" s="253">
        <v>1</v>
      </c>
      <c r="AD3" s="251"/>
      <c r="AE3" t="s" s="256">
        <v>1261</v>
      </c>
      <c r="AF3" s="8"/>
      <c r="AG3" s="8"/>
      <c r="AH3" s="8"/>
      <c r="AI3" s="8"/>
      <c r="AJ3" s="8"/>
      <c r="AK3" s="8"/>
      <c r="AL3" s="8"/>
      <c r="AM3" s="8"/>
      <c r="AN3" s="8"/>
      <c r="AO3" s="8"/>
      <c r="AP3" s="8"/>
      <c r="AQ3" s="8"/>
      <c r="AR3" s="8"/>
      <c r="AS3" s="8"/>
      <c r="AT3" s="8"/>
      <c r="AU3" s="8"/>
      <c r="AV3" s="8"/>
      <c r="AW3" s="8"/>
      <c r="AX3" s="8"/>
      <c r="AY3" s="8"/>
    </row>
    <row r="4" ht="17.45" customHeight="1">
      <c r="A4" t="s" s="250">
        <v>1257</v>
      </c>
      <c r="B4" s="251"/>
      <c r="C4" s="253">
        <v>15</v>
      </c>
      <c r="D4" t="s" s="250">
        <v>1258</v>
      </c>
      <c r="E4" t="s" s="250">
        <v>1259</v>
      </c>
      <c r="F4" t="s" s="250">
        <v>1262</v>
      </c>
      <c r="G4" s="253">
        <v>1</v>
      </c>
      <c r="H4" s="251"/>
      <c r="I4" s="251"/>
      <c r="J4" s="251"/>
      <c r="K4" s="251"/>
      <c r="L4" s="253">
        <v>1</v>
      </c>
      <c r="M4" s="251"/>
      <c r="N4" s="251"/>
      <c r="O4" s="251"/>
      <c r="P4" s="251"/>
      <c r="Q4" s="255">
        <v>47</v>
      </c>
      <c r="R4" s="253">
        <v>1</v>
      </c>
      <c r="S4" s="251"/>
      <c r="T4" s="251"/>
      <c r="U4" s="253">
        <v>24</v>
      </c>
      <c r="V4" s="253">
        <v>6</v>
      </c>
      <c r="W4" s="253">
        <v>5</v>
      </c>
      <c r="X4" s="251"/>
      <c r="Y4" s="251"/>
      <c r="Z4" s="251"/>
      <c r="AA4" s="251"/>
      <c r="AB4" s="251"/>
      <c r="AC4" s="251"/>
      <c r="AD4" t="s" s="250">
        <v>607</v>
      </c>
      <c r="AE4" s="252"/>
      <c r="AF4" s="8"/>
      <c r="AG4" s="8"/>
      <c r="AH4" s="8"/>
      <c r="AI4" s="8"/>
      <c r="AJ4" s="8"/>
      <c r="AK4" s="8"/>
      <c r="AL4" s="8"/>
      <c r="AM4" s="8"/>
      <c r="AN4" s="8"/>
      <c r="AO4" s="8"/>
      <c r="AP4" s="8"/>
      <c r="AQ4" s="8"/>
      <c r="AR4" s="8"/>
      <c r="AS4" s="8"/>
      <c r="AT4" s="8"/>
      <c r="AU4" s="8"/>
      <c r="AV4" s="8"/>
      <c r="AW4" s="8"/>
      <c r="AX4" s="8"/>
      <c r="AY4" s="8"/>
    </row>
    <row r="5" ht="17.45" customHeight="1">
      <c r="A5" t="s" s="250">
        <v>1257</v>
      </c>
      <c r="B5" s="251"/>
      <c r="C5" s="253">
        <v>15</v>
      </c>
      <c r="D5" t="s" s="250">
        <v>1258</v>
      </c>
      <c r="E5" t="s" s="250">
        <v>1259</v>
      </c>
      <c r="F5" t="s" s="250">
        <v>1263</v>
      </c>
      <c r="G5" s="253">
        <v>1</v>
      </c>
      <c r="H5" s="251"/>
      <c r="I5" s="251"/>
      <c r="J5" s="251"/>
      <c r="K5" s="251"/>
      <c r="L5" s="251"/>
      <c r="M5" s="253">
        <v>1</v>
      </c>
      <c r="N5" s="251"/>
      <c r="O5" s="251"/>
      <c r="P5" s="251"/>
      <c r="Q5" s="255">
        <v>18</v>
      </c>
      <c r="R5" s="251"/>
      <c r="S5" s="253">
        <v>1</v>
      </c>
      <c r="T5" s="251"/>
      <c r="U5" s="251"/>
      <c r="V5" s="251"/>
      <c r="W5" s="251"/>
      <c r="X5" s="251"/>
      <c r="Y5" s="251"/>
      <c r="Z5" s="251"/>
      <c r="AA5" s="251"/>
      <c r="AB5" s="251"/>
      <c r="AC5" s="253">
        <v>1</v>
      </c>
      <c r="AD5" s="251"/>
      <c r="AE5" s="252"/>
      <c r="AF5" s="8"/>
      <c r="AG5" s="8"/>
      <c r="AH5" s="8"/>
      <c r="AI5" s="8"/>
      <c r="AJ5" s="8"/>
      <c r="AK5" s="8"/>
      <c r="AL5" s="8"/>
      <c r="AM5" s="8"/>
      <c r="AN5" s="8"/>
      <c r="AO5" s="8"/>
      <c r="AP5" s="8"/>
      <c r="AQ5" s="8"/>
      <c r="AR5" s="8"/>
      <c r="AS5" s="8"/>
      <c r="AT5" s="8"/>
      <c r="AU5" s="8"/>
      <c r="AV5" s="8"/>
      <c r="AW5" s="8"/>
      <c r="AX5" s="8"/>
      <c r="AY5" s="8"/>
    </row>
    <row r="6" ht="17.45" customHeight="1">
      <c r="A6" t="s" s="250">
        <v>1257</v>
      </c>
      <c r="B6" s="251"/>
      <c r="C6" s="253">
        <v>15</v>
      </c>
      <c r="D6" t="s" s="250">
        <v>1258</v>
      </c>
      <c r="E6" t="s" s="250">
        <v>1264</v>
      </c>
      <c r="F6" t="s" s="250">
        <v>260</v>
      </c>
      <c r="G6" s="253">
        <v>1</v>
      </c>
      <c r="H6" s="251"/>
      <c r="I6" s="251"/>
      <c r="J6" s="251"/>
      <c r="K6" s="251"/>
      <c r="L6" s="251"/>
      <c r="M6" s="251"/>
      <c r="N6" s="251"/>
      <c r="O6" s="251"/>
      <c r="P6" s="253">
        <v>1</v>
      </c>
      <c r="Q6" s="255">
        <v>25</v>
      </c>
      <c r="R6" s="251"/>
      <c r="S6" s="253">
        <v>1</v>
      </c>
      <c r="T6" s="251"/>
      <c r="U6" s="251"/>
      <c r="V6" s="251"/>
      <c r="W6" s="251"/>
      <c r="X6" t="s" s="250">
        <v>1265</v>
      </c>
      <c r="Y6" s="251"/>
      <c r="Z6" s="253">
        <v>1</v>
      </c>
      <c r="AA6" s="251"/>
      <c r="AB6" s="251"/>
      <c r="AC6" s="251"/>
      <c r="AD6" t="s" s="250">
        <v>400</v>
      </c>
      <c r="AE6" s="252"/>
      <c r="AF6" s="8"/>
      <c r="AG6" s="8"/>
      <c r="AH6" s="8"/>
      <c r="AI6" s="8"/>
      <c r="AJ6" s="8"/>
      <c r="AK6" s="8"/>
      <c r="AL6" s="8"/>
      <c r="AM6" s="8"/>
      <c r="AN6" s="8"/>
      <c r="AO6" s="8"/>
      <c r="AP6" s="8"/>
      <c r="AQ6" s="8"/>
      <c r="AR6" s="8"/>
      <c r="AS6" s="8"/>
      <c r="AT6" s="8"/>
      <c r="AU6" s="8"/>
      <c r="AV6" s="8"/>
      <c r="AW6" s="8"/>
      <c r="AX6" s="8"/>
      <c r="AY6" s="8"/>
    </row>
    <row r="7" ht="17.45" customHeight="1">
      <c r="A7" t="s" s="250">
        <v>1257</v>
      </c>
      <c r="B7" s="251"/>
      <c r="C7" s="253">
        <v>15</v>
      </c>
      <c r="D7" t="s" s="250">
        <v>1258</v>
      </c>
      <c r="E7" t="s" s="250">
        <v>1266</v>
      </c>
      <c r="F7" t="s" s="250">
        <v>326</v>
      </c>
      <c r="G7" s="253">
        <v>1</v>
      </c>
      <c r="H7" s="251"/>
      <c r="I7" s="251"/>
      <c r="J7" s="251"/>
      <c r="K7" s="251"/>
      <c r="L7" s="251"/>
      <c r="M7" s="251"/>
      <c r="N7" s="251"/>
      <c r="O7" s="251"/>
      <c r="P7" s="253">
        <v>1</v>
      </c>
      <c r="Q7" s="255">
        <v>35</v>
      </c>
      <c r="R7" s="251"/>
      <c r="S7" s="253">
        <v>1</v>
      </c>
      <c r="T7" s="251"/>
      <c r="U7" s="251"/>
      <c r="V7" s="251"/>
      <c r="W7" s="251"/>
      <c r="X7" t="s" s="250">
        <v>1265</v>
      </c>
      <c r="Y7" s="251"/>
      <c r="Z7" s="253">
        <v>1</v>
      </c>
      <c r="AA7" s="251"/>
      <c r="AB7" s="251"/>
      <c r="AC7" s="251"/>
      <c r="AD7" t="s" s="250">
        <v>435</v>
      </c>
      <c r="AE7" s="252"/>
      <c r="AF7" s="8"/>
      <c r="AG7" s="8"/>
      <c r="AH7" s="8"/>
      <c r="AI7" s="8"/>
      <c r="AJ7" s="8"/>
      <c r="AK7" s="8"/>
      <c r="AL7" s="8"/>
      <c r="AM7" s="8"/>
      <c r="AN7" s="8"/>
      <c r="AO7" s="8"/>
      <c r="AP7" s="8"/>
      <c r="AQ7" s="8"/>
      <c r="AR7" s="8"/>
      <c r="AS7" s="8"/>
      <c r="AT7" s="8"/>
      <c r="AU7" s="8"/>
      <c r="AV7" s="8"/>
      <c r="AW7" s="8"/>
      <c r="AX7" s="8"/>
      <c r="AY7" s="8"/>
    </row>
    <row r="8" ht="17.45" customHeight="1">
      <c r="A8" t="s" s="250">
        <v>1267</v>
      </c>
      <c r="B8" s="251"/>
      <c r="C8" s="253">
        <v>17</v>
      </c>
      <c r="D8" t="s" s="250">
        <v>1258</v>
      </c>
      <c r="E8" t="s" s="250">
        <v>436</v>
      </c>
      <c r="F8" t="s" s="250">
        <v>696</v>
      </c>
      <c r="G8" s="253">
        <v>1</v>
      </c>
      <c r="H8" s="251"/>
      <c r="I8" s="251"/>
      <c r="J8" s="251"/>
      <c r="K8" s="253">
        <v>1</v>
      </c>
      <c r="L8" s="251"/>
      <c r="M8" s="251"/>
      <c r="N8" s="251"/>
      <c r="O8" s="251"/>
      <c r="P8" s="251"/>
      <c r="Q8" s="255">
        <v>45</v>
      </c>
      <c r="R8" s="251"/>
      <c r="S8" s="253">
        <v>1</v>
      </c>
      <c r="T8" s="251"/>
      <c r="U8" s="251"/>
      <c r="V8" s="251"/>
      <c r="W8" s="251"/>
      <c r="X8" t="s" s="250">
        <v>1268</v>
      </c>
      <c r="Y8" s="251"/>
      <c r="Z8" s="253">
        <v>1</v>
      </c>
      <c r="AA8" s="251"/>
      <c r="AB8" s="251"/>
      <c r="AC8" s="251"/>
      <c r="AD8" t="s" s="250">
        <v>1269</v>
      </c>
      <c r="AE8" t="s" s="256">
        <v>1270</v>
      </c>
      <c r="AF8" s="8"/>
      <c r="AG8" s="8"/>
      <c r="AH8" s="8"/>
      <c r="AI8" s="8"/>
      <c r="AJ8" s="8"/>
      <c r="AK8" s="8"/>
      <c r="AL8" s="8"/>
      <c r="AM8" s="8"/>
      <c r="AN8" s="8"/>
      <c r="AO8" s="8"/>
      <c r="AP8" s="8"/>
      <c r="AQ8" s="8"/>
      <c r="AR8" s="8"/>
      <c r="AS8" s="8"/>
      <c r="AT8" s="8"/>
      <c r="AU8" s="8"/>
      <c r="AV8" s="8"/>
      <c r="AW8" s="8"/>
      <c r="AX8" s="8"/>
      <c r="AY8" s="8"/>
    </row>
    <row r="9" ht="17.45" customHeight="1">
      <c r="A9" t="s" s="250">
        <v>1267</v>
      </c>
      <c r="B9" s="251"/>
      <c r="C9" s="253">
        <v>17</v>
      </c>
      <c r="D9" t="s" s="250">
        <v>1258</v>
      </c>
      <c r="E9" t="s" s="250">
        <v>1271</v>
      </c>
      <c r="F9" t="s" s="250">
        <v>1272</v>
      </c>
      <c r="G9" s="253">
        <v>1</v>
      </c>
      <c r="H9" s="251"/>
      <c r="I9" s="251"/>
      <c r="J9" s="251"/>
      <c r="K9" s="251"/>
      <c r="L9" s="251"/>
      <c r="M9" s="251"/>
      <c r="N9" s="251"/>
      <c r="O9" t="s" s="250">
        <v>441</v>
      </c>
      <c r="P9" s="251"/>
      <c r="Q9" s="255">
        <v>30</v>
      </c>
      <c r="R9" s="251"/>
      <c r="S9" s="253">
        <v>1</v>
      </c>
      <c r="T9" s="251"/>
      <c r="U9" s="251"/>
      <c r="V9" s="251"/>
      <c r="W9" s="251"/>
      <c r="X9" t="s" s="250">
        <v>1273</v>
      </c>
      <c r="Y9" s="251"/>
      <c r="Z9" s="251"/>
      <c r="AA9" s="251"/>
      <c r="AB9" s="251"/>
      <c r="AC9" s="253">
        <v>1</v>
      </c>
      <c r="AD9" s="251"/>
      <c r="AE9" t="s" s="256">
        <v>1274</v>
      </c>
      <c r="AF9" s="8"/>
      <c r="AG9" s="8"/>
      <c r="AH9" s="8"/>
      <c r="AI9" s="8"/>
      <c r="AJ9" s="8"/>
      <c r="AK9" s="8"/>
      <c r="AL9" s="8"/>
      <c r="AM9" s="8"/>
      <c r="AN9" s="8"/>
      <c r="AO9" s="8"/>
      <c r="AP9" s="8"/>
      <c r="AQ9" s="8"/>
      <c r="AR9" s="8"/>
      <c r="AS9" s="8"/>
      <c r="AT9" s="8"/>
      <c r="AU9" s="8"/>
      <c r="AV9" s="8"/>
      <c r="AW9" s="8"/>
      <c r="AX9" s="8"/>
      <c r="AY9" s="8"/>
    </row>
    <row r="10" ht="17.45" customHeight="1">
      <c r="A10" t="s" s="250">
        <v>1267</v>
      </c>
      <c r="B10" s="251"/>
      <c r="C10" s="253">
        <v>17</v>
      </c>
      <c r="D10" t="s" s="250">
        <v>1258</v>
      </c>
      <c r="E10" t="s" s="250">
        <v>1275</v>
      </c>
      <c r="F10" t="s" s="250">
        <v>49</v>
      </c>
      <c r="G10" s="253">
        <v>1</v>
      </c>
      <c r="H10" s="251"/>
      <c r="I10" s="251"/>
      <c r="J10" s="251"/>
      <c r="K10" s="251"/>
      <c r="L10" s="251"/>
      <c r="M10" s="251"/>
      <c r="N10" s="251"/>
      <c r="O10" s="251"/>
      <c r="P10" s="253">
        <v>1</v>
      </c>
      <c r="Q10" s="255">
        <v>43</v>
      </c>
      <c r="R10" s="251"/>
      <c r="S10" s="253">
        <v>1</v>
      </c>
      <c r="T10" s="251"/>
      <c r="U10" s="251"/>
      <c r="V10" s="251"/>
      <c r="W10" s="251"/>
      <c r="X10" t="s" s="250">
        <v>191</v>
      </c>
      <c r="Y10" s="251"/>
      <c r="Z10" s="253">
        <v>1</v>
      </c>
      <c r="AA10" s="251"/>
      <c r="AB10" s="251"/>
      <c r="AC10" s="251"/>
      <c r="AD10" t="s" s="250">
        <v>402</v>
      </c>
      <c r="AE10" s="252"/>
      <c r="AF10" s="8"/>
      <c r="AG10" s="8"/>
      <c r="AH10" s="8"/>
      <c r="AI10" s="8"/>
      <c r="AJ10" s="8"/>
      <c r="AK10" s="8"/>
      <c r="AL10" s="8"/>
      <c r="AM10" s="8"/>
      <c r="AN10" s="8"/>
      <c r="AO10" s="8"/>
      <c r="AP10" s="8"/>
      <c r="AQ10" s="8"/>
      <c r="AR10" s="8"/>
      <c r="AS10" s="8"/>
      <c r="AT10" s="8"/>
      <c r="AU10" s="8"/>
      <c r="AV10" s="8"/>
      <c r="AW10" s="8"/>
      <c r="AX10" s="8"/>
      <c r="AY10" s="8"/>
    </row>
    <row r="11" ht="17.45" customHeight="1">
      <c r="A11" t="s" s="250">
        <v>1276</v>
      </c>
      <c r="B11" t="s" s="250">
        <v>1277</v>
      </c>
      <c r="C11" s="253">
        <v>19</v>
      </c>
      <c r="D11" t="s" s="250">
        <v>1258</v>
      </c>
      <c r="E11" t="s" s="250">
        <v>476</v>
      </c>
      <c r="F11" t="s" s="250">
        <v>969</v>
      </c>
      <c r="G11" s="253">
        <v>1</v>
      </c>
      <c r="H11" s="251"/>
      <c r="I11" s="251"/>
      <c r="J11" s="251"/>
      <c r="K11" s="253">
        <v>1</v>
      </c>
      <c r="L11" s="251"/>
      <c r="M11" s="251"/>
      <c r="N11" s="251"/>
      <c r="O11" s="251"/>
      <c r="P11" s="251"/>
      <c r="Q11" s="255">
        <v>66</v>
      </c>
      <c r="R11" s="251"/>
      <c r="S11" s="251"/>
      <c r="T11" s="253">
        <v>1</v>
      </c>
      <c r="U11" s="251"/>
      <c r="V11" s="253">
        <v>9</v>
      </c>
      <c r="W11" s="253">
        <v>8</v>
      </c>
      <c r="X11" s="251"/>
      <c r="Y11" s="251"/>
      <c r="Z11" s="251"/>
      <c r="AA11" s="251"/>
      <c r="AB11" s="251"/>
      <c r="AC11" s="253">
        <v>1</v>
      </c>
      <c r="AD11" s="251"/>
      <c r="AE11" s="252"/>
      <c r="AF11" s="8"/>
      <c r="AG11" s="8"/>
      <c r="AH11" s="8"/>
      <c r="AI11" s="8"/>
      <c r="AJ11" s="8"/>
      <c r="AK11" s="8"/>
      <c r="AL11" s="8"/>
      <c r="AM11" s="8"/>
      <c r="AN11" s="8"/>
      <c r="AO11" s="8"/>
      <c r="AP11" s="8"/>
      <c r="AQ11" s="8"/>
      <c r="AR11" s="8"/>
      <c r="AS11" s="8"/>
      <c r="AT11" s="8"/>
      <c r="AU11" s="8"/>
      <c r="AV11" s="8"/>
      <c r="AW11" s="8"/>
      <c r="AX11" s="8"/>
      <c r="AY11" s="8"/>
    </row>
    <row r="12" ht="17.45" customHeight="1">
      <c r="A12" t="s" s="250">
        <v>1276</v>
      </c>
      <c r="B12" t="s" s="250">
        <v>1277</v>
      </c>
      <c r="C12" s="253">
        <v>19</v>
      </c>
      <c r="D12" t="s" s="250">
        <v>1258</v>
      </c>
      <c r="E12" t="s" s="250">
        <v>476</v>
      </c>
      <c r="F12" t="s" s="250">
        <v>381</v>
      </c>
      <c r="G12" s="251"/>
      <c r="H12" s="253">
        <v>1</v>
      </c>
      <c r="I12" s="251"/>
      <c r="J12" s="251"/>
      <c r="K12" s="251"/>
      <c r="L12" s="251"/>
      <c r="M12" s="251"/>
      <c r="N12" s="253">
        <v>1</v>
      </c>
      <c r="O12" s="251"/>
      <c r="P12" s="251"/>
      <c r="Q12" s="255">
        <v>38</v>
      </c>
      <c r="R12" s="251"/>
      <c r="S12" s="253">
        <v>1</v>
      </c>
      <c r="T12" s="251"/>
      <c r="U12" s="251"/>
      <c r="V12" s="251"/>
      <c r="W12" s="251"/>
      <c r="X12" t="s" s="250">
        <v>1278</v>
      </c>
      <c r="Y12" s="251"/>
      <c r="Z12" s="253">
        <v>1</v>
      </c>
      <c r="AA12" s="253">
        <v>1</v>
      </c>
      <c r="AB12" s="251"/>
      <c r="AC12" s="253">
        <v>1</v>
      </c>
      <c r="AD12" s="251"/>
      <c r="AE12" s="252"/>
      <c r="AF12" s="8"/>
      <c r="AG12" s="8"/>
      <c r="AH12" s="8"/>
      <c r="AI12" s="8"/>
      <c r="AJ12" s="8"/>
      <c r="AK12" s="8"/>
      <c r="AL12" s="8"/>
      <c r="AM12" s="8"/>
      <c r="AN12" s="8"/>
      <c r="AO12" s="8"/>
      <c r="AP12" s="8"/>
      <c r="AQ12" s="8"/>
      <c r="AR12" s="8"/>
      <c r="AS12" s="8"/>
      <c r="AT12" s="8"/>
      <c r="AU12" s="8"/>
      <c r="AV12" s="8"/>
      <c r="AW12" s="8"/>
      <c r="AX12" s="8"/>
      <c r="AY12" s="8"/>
    </row>
    <row r="13" ht="17.45" customHeight="1">
      <c r="A13" t="s" s="250">
        <v>1276</v>
      </c>
      <c r="B13" t="s" s="250">
        <v>1277</v>
      </c>
      <c r="C13" s="253">
        <v>19</v>
      </c>
      <c r="D13" t="s" s="250">
        <v>1258</v>
      </c>
      <c r="E13" t="s" s="250">
        <v>476</v>
      </c>
      <c r="F13" t="s" s="250">
        <v>1279</v>
      </c>
      <c r="G13" s="251"/>
      <c r="H13" s="253">
        <v>1</v>
      </c>
      <c r="I13" s="251"/>
      <c r="J13" s="251"/>
      <c r="K13" s="251"/>
      <c r="L13" s="251"/>
      <c r="M13" s="251"/>
      <c r="N13" s="253">
        <v>1</v>
      </c>
      <c r="O13" s="251"/>
      <c r="P13" s="251"/>
      <c r="Q13" s="255">
        <v>35</v>
      </c>
      <c r="R13" s="251"/>
      <c r="S13" s="253">
        <v>1</v>
      </c>
      <c r="T13" s="251"/>
      <c r="U13" s="251"/>
      <c r="V13" s="251"/>
      <c r="W13" s="251"/>
      <c r="X13" t="s" s="250">
        <v>1280</v>
      </c>
      <c r="Y13" s="251"/>
      <c r="Z13" s="251"/>
      <c r="AA13" s="251"/>
      <c r="AB13" s="251"/>
      <c r="AC13" s="253">
        <v>1</v>
      </c>
      <c r="AD13" s="251"/>
      <c r="AE13" s="252"/>
      <c r="AF13" s="8"/>
      <c r="AG13" s="8"/>
      <c r="AH13" s="8"/>
      <c r="AI13" s="8"/>
      <c r="AJ13" s="8"/>
      <c r="AK13" s="8"/>
      <c r="AL13" s="8"/>
      <c r="AM13" s="8"/>
      <c r="AN13" s="8"/>
      <c r="AO13" s="8"/>
      <c r="AP13" s="8"/>
      <c r="AQ13" s="8"/>
      <c r="AR13" s="8"/>
      <c r="AS13" s="8"/>
      <c r="AT13" s="8"/>
      <c r="AU13" s="8"/>
      <c r="AV13" s="8"/>
      <c r="AW13" s="8"/>
      <c r="AX13" s="8"/>
      <c r="AY13" s="8"/>
    </row>
    <row r="14" ht="17.45" customHeight="1">
      <c r="A14" t="s" s="250">
        <v>1276</v>
      </c>
      <c r="B14" t="s" s="250">
        <v>1277</v>
      </c>
      <c r="C14" s="253">
        <v>19</v>
      </c>
      <c r="D14" t="s" s="250">
        <v>1258</v>
      </c>
      <c r="E14" t="s" s="250">
        <v>476</v>
      </c>
      <c r="F14" t="s" s="250">
        <v>520</v>
      </c>
      <c r="G14" s="253">
        <v>1</v>
      </c>
      <c r="H14" s="251"/>
      <c r="I14" s="251"/>
      <c r="J14" s="251"/>
      <c r="K14" s="251"/>
      <c r="L14" s="251"/>
      <c r="M14" s="253">
        <v>1</v>
      </c>
      <c r="N14" s="251"/>
      <c r="O14" s="251"/>
      <c r="P14" s="251"/>
      <c r="Q14" s="255">
        <v>27</v>
      </c>
      <c r="R14" s="251"/>
      <c r="S14" s="253">
        <v>1</v>
      </c>
      <c r="T14" s="251"/>
      <c r="U14" s="251"/>
      <c r="V14" s="251"/>
      <c r="W14" s="251"/>
      <c r="X14" s="251"/>
      <c r="Y14" s="251"/>
      <c r="Z14" s="251"/>
      <c r="AA14" s="251"/>
      <c r="AB14" s="251"/>
      <c r="AC14" s="253">
        <v>1</v>
      </c>
      <c r="AD14" s="251"/>
      <c r="AE14" s="252"/>
      <c r="AF14" s="8"/>
      <c r="AG14" s="8"/>
      <c r="AH14" s="8"/>
      <c r="AI14" s="8"/>
      <c r="AJ14" s="8"/>
      <c r="AK14" s="8"/>
      <c r="AL14" s="8"/>
      <c r="AM14" s="8"/>
      <c r="AN14" s="8"/>
      <c r="AO14" s="8"/>
      <c r="AP14" s="8"/>
      <c r="AQ14" s="8"/>
      <c r="AR14" s="8"/>
      <c r="AS14" s="8"/>
      <c r="AT14" s="8"/>
      <c r="AU14" s="8"/>
      <c r="AV14" s="8"/>
      <c r="AW14" s="8"/>
      <c r="AX14" s="8"/>
      <c r="AY14" s="8"/>
    </row>
    <row r="15" ht="17.45" customHeight="1">
      <c r="A15" t="s" s="250">
        <v>1276</v>
      </c>
      <c r="B15" t="s" s="250">
        <v>1277</v>
      </c>
      <c r="C15" s="253">
        <v>19</v>
      </c>
      <c r="D15" t="s" s="250">
        <v>1258</v>
      </c>
      <c r="E15" t="s" s="250">
        <v>476</v>
      </c>
      <c r="F15" t="s" s="250">
        <v>1281</v>
      </c>
      <c r="G15" s="253">
        <v>1</v>
      </c>
      <c r="H15" s="251"/>
      <c r="I15" s="251"/>
      <c r="J15" s="251"/>
      <c r="K15" s="251"/>
      <c r="L15" s="251"/>
      <c r="M15" s="253">
        <v>1</v>
      </c>
      <c r="N15" s="251"/>
      <c r="O15" s="251"/>
      <c r="P15" s="251"/>
      <c r="Q15" s="255">
        <v>25</v>
      </c>
      <c r="R15" s="251"/>
      <c r="S15" s="253">
        <v>1</v>
      </c>
      <c r="T15" s="251"/>
      <c r="U15" s="251"/>
      <c r="V15" s="251"/>
      <c r="W15" s="251"/>
      <c r="X15" s="251"/>
      <c r="Y15" s="251"/>
      <c r="Z15" s="251"/>
      <c r="AA15" s="251"/>
      <c r="AB15" s="251"/>
      <c r="AC15" s="253">
        <v>1</v>
      </c>
      <c r="AD15" s="251"/>
      <c r="AE15" s="252"/>
      <c r="AF15" s="8"/>
      <c r="AG15" s="8"/>
      <c r="AH15" s="8"/>
      <c r="AI15" s="8"/>
      <c r="AJ15" s="8"/>
      <c r="AK15" s="8"/>
      <c r="AL15" s="8"/>
      <c r="AM15" s="8"/>
      <c r="AN15" s="8"/>
      <c r="AO15" s="8"/>
      <c r="AP15" s="8"/>
      <c r="AQ15" s="8"/>
      <c r="AR15" s="8"/>
      <c r="AS15" s="8"/>
      <c r="AT15" s="8"/>
      <c r="AU15" s="8"/>
      <c r="AV15" s="8"/>
      <c r="AW15" s="8"/>
      <c r="AX15" s="8"/>
      <c r="AY15" s="8"/>
    </row>
    <row r="16" ht="17.45" customHeight="1">
      <c r="A16" t="s" s="250">
        <v>1276</v>
      </c>
      <c r="B16" t="s" s="250">
        <v>1277</v>
      </c>
      <c r="C16" s="253">
        <v>19</v>
      </c>
      <c r="D16" t="s" s="250">
        <v>1258</v>
      </c>
      <c r="E16" t="s" s="250">
        <v>1282</v>
      </c>
      <c r="F16" t="s" s="250">
        <v>204</v>
      </c>
      <c r="G16" s="253">
        <v>1</v>
      </c>
      <c r="H16" s="251"/>
      <c r="I16" s="251"/>
      <c r="J16" s="251"/>
      <c r="K16" s="251"/>
      <c r="L16" s="251"/>
      <c r="M16" s="251"/>
      <c r="N16" s="251"/>
      <c r="O16" s="251"/>
      <c r="P16" s="253">
        <v>1</v>
      </c>
      <c r="Q16" s="255">
        <v>24</v>
      </c>
      <c r="R16" s="251"/>
      <c r="S16" s="253">
        <v>1</v>
      </c>
      <c r="T16" s="251"/>
      <c r="U16" s="251"/>
      <c r="V16" s="251"/>
      <c r="W16" s="251"/>
      <c r="X16" t="s" s="250">
        <v>194</v>
      </c>
      <c r="Y16" s="251"/>
      <c r="Z16" s="253">
        <v>1</v>
      </c>
      <c r="AA16" s="251"/>
      <c r="AB16" s="251"/>
      <c r="AC16" s="251"/>
      <c r="AD16" t="s" s="250">
        <v>1183</v>
      </c>
      <c r="AE16" s="252"/>
      <c r="AF16" s="8"/>
      <c r="AG16" s="8"/>
      <c r="AH16" s="8"/>
      <c r="AI16" s="8"/>
      <c r="AJ16" s="8"/>
      <c r="AK16" s="8"/>
      <c r="AL16" s="8"/>
      <c r="AM16" s="8"/>
      <c r="AN16" s="8"/>
      <c r="AO16" s="8"/>
      <c r="AP16" s="8"/>
      <c r="AQ16" s="8"/>
      <c r="AR16" s="8"/>
      <c r="AS16" s="8"/>
      <c r="AT16" s="8"/>
      <c r="AU16" s="8"/>
      <c r="AV16" s="8"/>
      <c r="AW16" s="8"/>
      <c r="AX16" s="8"/>
      <c r="AY16" s="8"/>
    </row>
    <row r="17" ht="17.45" customHeight="1">
      <c r="A17" t="s" s="250">
        <v>1276</v>
      </c>
      <c r="B17" t="s" s="250">
        <v>1277</v>
      </c>
      <c r="C17" s="253">
        <v>19</v>
      </c>
      <c r="D17" t="s" s="250">
        <v>1258</v>
      </c>
      <c r="E17" t="s" s="250">
        <v>797</v>
      </c>
      <c r="F17" t="s" s="250">
        <v>696</v>
      </c>
      <c r="G17" s="253">
        <v>1</v>
      </c>
      <c r="H17" s="251"/>
      <c r="I17" s="251"/>
      <c r="J17" s="251"/>
      <c r="K17" s="251"/>
      <c r="L17" s="251"/>
      <c r="M17" s="251"/>
      <c r="N17" s="251"/>
      <c r="O17" s="251"/>
      <c r="P17" s="253">
        <v>1</v>
      </c>
      <c r="Q17" s="255">
        <v>25</v>
      </c>
      <c r="R17" s="251"/>
      <c r="S17" s="253">
        <v>1</v>
      </c>
      <c r="T17" s="251"/>
      <c r="U17" s="251"/>
      <c r="V17" s="251"/>
      <c r="W17" s="251"/>
      <c r="X17" t="s" s="250">
        <v>191</v>
      </c>
      <c r="Y17" s="251"/>
      <c r="Z17" s="253">
        <v>1</v>
      </c>
      <c r="AA17" s="251"/>
      <c r="AB17" s="251"/>
      <c r="AC17" s="251"/>
      <c r="AD17" t="s" s="250">
        <v>400</v>
      </c>
      <c r="AE17" s="252"/>
      <c r="AF17" s="8"/>
      <c r="AG17" s="8"/>
      <c r="AH17" s="8"/>
      <c r="AI17" s="8"/>
      <c r="AJ17" s="8"/>
      <c r="AK17" s="8"/>
      <c r="AL17" s="8"/>
      <c r="AM17" s="8"/>
      <c r="AN17" s="8"/>
      <c r="AO17" s="8"/>
      <c r="AP17" s="8"/>
      <c r="AQ17" s="8"/>
      <c r="AR17" s="8"/>
      <c r="AS17" s="8"/>
      <c r="AT17" s="8"/>
      <c r="AU17" s="8"/>
      <c r="AV17" s="8"/>
      <c r="AW17" s="8"/>
      <c r="AX17" s="8"/>
      <c r="AY17" s="8"/>
    </row>
    <row r="18" ht="17.45" customHeight="1">
      <c r="A18" t="s" s="250">
        <v>1283</v>
      </c>
      <c r="B18" t="s" s="250">
        <v>1284</v>
      </c>
      <c r="C18" s="253">
        <v>21</v>
      </c>
      <c r="D18" t="s" s="250">
        <v>1258</v>
      </c>
      <c r="E18" t="s" s="250">
        <v>1285</v>
      </c>
      <c r="F18" t="s" s="250">
        <v>511</v>
      </c>
      <c r="G18" s="253">
        <v>1</v>
      </c>
      <c r="H18" s="251"/>
      <c r="I18" s="251"/>
      <c r="J18" s="251"/>
      <c r="K18" s="253">
        <v>1</v>
      </c>
      <c r="L18" s="251"/>
      <c r="M18" s="251"/>
      <c r="N18" s="251"/>
      <c r="O18" s="251"/>
      <c r="P18" s="251"/>
      <c r="Q18" s="255">
        <v>73</v>
      </c>
      <c r="R18" s="251"/>
      <c r="S18" s="253">
        <v>1</v>
      </c>
      <c r="T18" s="251"/>
      <c r="U18" s="251"/>
      <c r="V18" s="251"/>
      <c r="W18" s="251"/>
      <c r="X18" t="s" s="250">
        <v>1286</v>
      </c>
      <c r="Y18" s="251"/>
      <c r="Z18" s="251"/>
      <c r="AA18" s="251"/>
      <c r="AB18" s="251"/>
      <c r="AC18" s="253">
        <v>1</v>
      </c>
      <c r="AD18" s="251"/>
      <c r="AE18" s="252"/>
      <c r="AF18" s="8"/>
      <c r="AG18" s="8"/>
      <c r="AH18" s="8"/>
      <c r="AI18" s="8"/>
      <c r="AJ18" s="8"/>
      <c r="AK18" s="8"/>
      <c r="AL18" s="8"/>
      <c r="AM18" s="8"/>
      <c r="AN18" s="8"/>
      <c r="AO18" s="8"/>
      <c r="AP18" s="8"/>
      <c r="AQ18" s="8"/>
      <c r="AR18" s="8"/>
      <c r="AS18" s="8"/>
      <c r="AT18" s="8"/>
      <c r="AU18" s="8"/>
      <c r="AV18" s="8"/>
      <c r="AW18" s="8"/>
      <c r="AX18" s="8"/>
      <c r="AY18" s="8"/>
    </row>
    <row r="19" ht="17.45" customHeight="1">
      <c r="A19" t="s" s="250">
        <v>1283</v>
      </c>
      <c r="B19" t="s" s="250">
        <v>1284</v>
      </c>
      <c r="C19" s="253">
        <v>21</v>
      </c>
      <c r="D19" t="s" s="250">
        <v>1258</v>
      </c>
      <c r="E19" t="s" s="250">
        <v>1287</v>
      </c>
      <c r="F19" t="s" s="250">
        <v>686</v>
      </c>
      <c r="G19" s="253">
        <v>1</v>
      </c>
      <c r="H19" s="251"/>
      <c r="I19" s="251"/>
      <c r="J19" s="251"/>
      <c r="K19" s="251"/>
      <c r="L19" s="251"/>
      <c r="M19" s="251"/>
      <c r="N19" s="251"/>
      <c r="O19" s="251"/>
      <c r="P19" s="253">
        <v>1</v>
      </c>
      <c r="Q19" s="255">
        <v>26</v>
      </c>
      <c r="R19" s="251"/>
      <c r="S19" s="253">
        <v>1</v>
      </c>
      <c r="T19" s="251"/>
      <c r="U19" s="251"/>
      <c r="V19" s="251"/>
      <c r="W19" s="251"/>
      <c r="X19" t="s" s="250">
        <v>191</v>
      </c>
      <c r="Y19" s="251"/>
      <c r="Z19" s="253">
        <v>1</v>
      </c>
      <c r="AA19" s="251"/>
      <c r="AB19" s="251"/>
      <c r="AC19" s="251"/>
      <c r="AD19" t="s" s="250">
        <v>400</v>
      </c>
      <c r="AE19" s="252"/>
      <c r="AF19" s="8"/>
      <c r="AG19" s="8"/>
      <c r="AH19" s="8"/>
      <c r="AI19" s="8"/>
      <c r="AJ19" s="8"/>
      <c r="AK19" s="8"/>
      <c r="AL19" s="8"/>
      <c r="AM19" s="8"/>
      <c r="AN19" s="8"/>
      <c r="AO19" s="8"/>
      <c r="AP19" s="8"/>
      <c r="AQ19" s="8"/>
      <c r="AR19" s="8"/>
      <c r="AS19" s="8"/>
      <c r="AT19" s="8"/>
      <c r="AU19" s="8"/>
      <c r="AV19" s="8"/>
      <c r="AW19" s="8"/>
      <c r="AX19" s="8"/>
      <c r="AY19" s="8"/>
    </row>
    <row r="20" ht="17.45" customHeight="1">
      <c r="A20" t="s" s="250">
        <v>1283</v>
      </c>
      <c r="B20" t="s" s="250">
        <v>1284</v>
      </c>
      <c r="C20" s="253">
        <v>21</v>
      </c>
      <c r="D20" t="s" s="250">
        <v>1258</v>
      </c>
      <c r="E20" t="s" s="250">
        <v>1288</v>
      </c>
      <c r="F20" t="s" s="250">
        <v>1289</v>
      </c>
      <c r="G20" s="253">
        <v>1</v>
      </c>
      <c r="H20" s="251"/>
      <c r="I20" s="251"/>
      <c r="J20" s="251"/>
      <c r="K20" s="251"/>
      <c r="L20" s="251"/>
      <c r="M20" s="251"/>
      <c r="N20" s="251"/>
      <c r="O20" s="251"/>
      <c r="P20" s="253">
        <v>1</v>
      </c>
      <c r="Q20" s="255">
        <v>20</v>
      </c>
      <c r="R20" s="251"/>
      <c r="S20" s="253">
        <v>1</v>
      </c>
      <c r="T20" s="251"/>
      <c r="U20" s="251"/>
      <c r="V20" s="251"/>
      <c r="W20" s="251"/>
      <c r="X20" t="s" s="250">
        <v>194</v>
      </c>
      <c r="Y20" s="251"/>
      <c r="Z20" s="253">
        <v>1</v>
      </c>
      <c r="AA20" s="251"/>
      <c r="AB20" s="251"/>
      <c r="AC20" s="251"/>
      <c r="AD20" t="s" s="250">
        <v>1183</v>
      </c>
      <c r="AE20" s="252"/>
      <c r="AF20" s="8"/>
      <c r="AG20" s="8"/>
      <c r="AH20" s="8"/>
      <c r="AI20" s="8"/>
      <c r="AJ20" s="8"/>
      <c r="AK20" s="8"/>
      <c r="AL20" s="8"/>
      <c r="AM20" s="8"/>
      <c r="AN20" s="8"/>
      <c r="AO20" s="8"/>
      <c r="AP20" s="8"/>
      <c r="AQ20" s="8"/>
      <c r="AR20" s="8"/>
      <c r="AS20" s="8"/>
      <c r="AT20" s="8"/>
      <c r="AU20" s="8"/>
      <c r="AV20" s="8"/>
      <c r="AW20" s="8"/>
      <c r="AX20" s="8"/>
      <c r="AY20" s="8"/>
    </row>
    <row r="21" ht="17.45" customHeight="1">
      <c r="A21" t="s" s="250">
        <v>1290</v>
      </c>
      <c r="B21" t="s" s="250">
        <v>1291</v>
      </c>
      <c r="C21" s="253">
        <v>23</v>
      </c>
      <c r="D21" t="s" s="250">
        <v>1258</v>
      </c>
      <c r="E21" t="s" s="250">
        <v>1292</v>
      </c>
      <c r="F21" t="s" s="250">
        <v>550</v>
      </c>
      <c r="G21" s="251"/>
      <c r="H21" s="253">
        <v>1</v>
      </c>
      <c r="I21" s="251"/>
      <c r="J21" s="251"/>
      <c r="K21" s="253">
        <v>1</v>
      </c>
      <c r="L21" s="251"/>
      <c r="M21" s="251"/>
      <c r="N21" s="251"/>
      <c r="O21" s="251"/>
      <c r="P21" s="251"/>
      <c r="Q21" s="255">
        <v>65</v>
      </c>
      <c r="R21" s="251"/>
      <c r="S21" s="253">
        <v>1</v>
      </c>
      <c r="T21" s="251"/>
      <c r="U21" s="251"/>
      <c r="V21" s="251"/>
      <c r="W21" s="251"/>
      <c r="X21" t="s" s="250">
        <v>1293</v>
      </c>
      <c r="Y21" s="251"/>
      <c r="Z21" s="251"/>
      <c r="AA21" s="251"/>
      <c r="AB21" s="251"/>
      <c r="AC21" s="253">
        <v>1</v>
      </c>
      <c r="AD21" s="251"/>
      <c r="AE21" s="252"/>
      <c r="AF21" s="8"/>
      <c r="AG21" s="8"/>
      <c r="AH21" s="8"/>
      <c r="AI21" s="8"/>
      <c r="AJ21" s="8"/>
      <c r="AK21" s="8"/>
      <c r="AL21" s="8"/>
      <c r="AM21" s="8"/>
      <c r="AN21" s="8"/>
      <c r="AO21" s="8"/>
      <c r="AP21" s="8"/>
      <c r="AQ21" s="8"/>
      <c r="AR21" s="8"/>
      <c r="AS21" s="8"/>
      <c r="AT21" s="8"/>
      <c r="AU21" s="8"/>
      <c r="AV21" s="8"/>
      <c r="AW21" s="8"/>
      <c r="AX21" s="8"/>
      <c r="AY21" s="8"/>
    </row>
    <row r="22" ht="17.45" customHeight="1">
      <c r="A22" t="s" s="250">
        <v>1290</v>
      </c>
      <c r="B22" t="s" s="250">
        <v>1291</v>
      </c>
      <c r="C22" s="253">
        <v>23</v>
      </c>
      <c r="D22" t="s" s="250">
        <v>1258</v>
      </c>
      <c r="E22" t="s" s="250">
        <v>1292</v>
      </c>
      <c r="F22" t="s" s="250">
        <v>65</v>
      </c>
      <c r="G22" s="253">
        <v>1</v>
      </c>
      <c r="H22" s="251"/>
      <c r="I22" s="251"/>
      <c r="J22" s="251"/>
      <c r="K22" s="251"/>
      <c r="L22" s="251"/>
      <c r="M22" s="251"/>
      <c r="N22" s="251"/>
      <c r="O22" t="s" s="250">
        <v>175</v>
      </c>
      <c r="P22" s="251"/>
      <c r="Q22" s="255">
        <v>67</v>
      </c>
      <c r="R22" s="251"/>
      <c r="S22" s="253">
        <v>1</v>
      </c>
      <c r="T22" s="251"/>
      <c r="U22" s="251"/>
      <c r="V22" s="251"/>
      <c r="W22" s="251"/>
      <c r="X22" t="s" s="250">
        <v>456</v>
      </c>
      <c r="Y22" s="251"/>
      <c r="Z22" s="251"/>
      <c r="AA22" s="251"/>
      <c r="AB22" s="251"/>
      <c r="AC22" s="253">
        <v>1</v>
      </c>
      <c r="AD22" s="251"/>
      <c r="AE22" s="252"/>
      <c r="AF22" s="8"/>
      <c r="AG22" s="8"/>
      <c r="AH22" s="8"/>
      <c r="AI22" s="8"/>
      <c r="AJ22" s="8"/>
      <c r="AK22" s="8"/>
      <c r="AL22" s="8"/>
      <c r="AM22" s="8"/>
      <c r="AN22" s="8"/>
      <c r="AO22" s="8"/>
      <c r="AP22" s="8"/>
      <c r="AQ22" s="8"/>
      <c r="AR22" s="8"/>
      <c r="AS22" s="8"/>
      <c r="AT22" s="8"/>
      <c r="AU22" s="8"/>
      <c r="AV22" s="8"/>
      <c r="AW22" s="8"/>
      <c r="AX22" s="8"/>
      <c r="AY22" s="8"/>
    </row>
    <row r="23" ht="17.45" customHeight="1">
      <c r="A23" t="s" s="250">
        <v>1290</v>
      </c>
      <c r="B23" t="s" s="250">
        <v>1291</v>
      </c>
      <c r="C23" s="253">
        <v>23</v>
      </c>
      <c r="D23" t="s" s="250">
        <v>1258</v>
      </c>
      <c r="E23" t="s" s="250">
        <v>1292</v>
      </c>
      <c r="F23" t="s" s="250">
        <v>241</v>
      </c>
      <c r="G23" s="253">
        <v>1</v>
      </c>
      <c r="H23" s="251"/>
      <c r="I23" s="251"/>
      <c r="J23" s="251"/>
      <c r="K23" s="251"/>
      <c r="L23" s="251"/>
      <c r="M23" s="251"/>
      <c r="N23" s="251"/>
      <c r="O23" t="s" s="250">
        <v>175</v>
      </c>
      <c r="P23" s="251"/>
      <c r="Q23" s="255">
        <v>57</v>
      </c>
      <c r="R23" s="251"/>
      <c r="S23" s="253">
        <v>1</v>
      </c>
      <c r="T23" s="251"/>
      <c r="U23" s="251"/>
      <c r="V23" s="251"/>
      <c r="W23" s="251"/>
      <c r="X23" t="s" s="250">
        <v>456</v>
      </c>
      <c r="Y23" s="251"/>
      <c r="Z23" s="251"/>
      <c r="AA23" s="251"/>
      <c r="AB23" s="251"/>
      <c r="AC23" s="253">
        <v>1</v>
      </c>
      <c r="AD23" s="251"/>
      <c r="AE23" s="252"/>
      <c r="AF23" s="8"/>
      <c r="AG23" s="8"/>
      <c r="AH23" s="8"/>
      <c r="AI23" s="8"/>
      <c r="AJ23" s="8"/>
      <c r="AK23" s="8"/>
      <c r="AL23" s="8"/>
      <c r="AM23" s="8"/>
      <c r="AN23" s="8"/>
      <c r="AO23" s="8"/>
      <c r="AP23" s="8"/>
      <c r="AQ23" s="8"/>
      <c r="AR23" s="8"/>
      <c r="AS23" s="8"/>
      <c r="AT23" s="8"/>
      <c r="AU23" s="8"/>
      <c r="AV23" s="8"/>
      <c r="AW23" s="8"/>
      <c r="AX23" s="8"/>
      <c r="AY23" s="8"/>
    </row>
    <row r="24" ht="17.45" customHeight="1">
      <c r="A24" t="s" s="250">
        <v>1290</v>
      </c>
      <c r="B24" t="s" s="250">
        <v>1291</v>
      </c>
      <c r="C24" s="253">
        <v>23</v>
      </c>
      <c r="D24" t="s" s="250">
        <v>1258</v>
      </c>
      <c r="E24" t="s" s="250">
        <v>1292</v>
      </c>
      <c r="F24" t="s" s="250">
        <v>451</v>
      </c>
      <c r="G24" s="253">
        <v>1</v>
      </c>
      <c r="H24" s="251"/>
      <c r="I24" s="251"/>
      <c r="J24" s="251"/>
      <c r="K24" s="251"/>
      <c r="L24" s="251"/>
      <c r="M24" s="251"/>
      <c r="N24" s="251"/>
      <c r="O24" t="s" s="250">
        <v>175</v>
      </c>
      <c r="P24" s="251"/>
      <c r="Q24" s="255">
        <v>51</v>
      </c>
      <c r="R24" s="251"/>
      <c r="S24" s="253">
        <v>1</v>
      </c>
      <c r="T24" s="251"/>
      <c r="U24" s="251"/>
      <c r="V24" s="251"/>
      <c r="W24" s="251"/>
      <c r="X24" t="s" s="250">
        <v>456</v>
      </c>
      <c r="Y24" s="251"/>
      <c r="Z24" s="251"/>
      <c r="AA24" s="251"/>
      <c r="AB24" s="251"/>
      <c r="AC24" s="253">
        <v>1</v>
      </c>
      <c r="AD24" s="251"/>
      <c r="AE24" s="252"/>
      <c r="AF24" s="8"/>
      <c r="AG24" s="8"/>
      <c r="AH24" s="8"/>
      <c r="AI24" s="8"/>
      <c r="AJ24" s="8"/>
      <c r="AK24" s="8"/>
      <c r="AL24" s="8"/>
      <c r="AM24" s="8"/>
      <c r="AN24" s="8"/>
      <c r="AO24" s="8"/>
      <c r="AP24" s="8"/>
      <c r="AQ24" s="8"/>
      <c r="AR24" s="8"/>
      <c r="AS24" s="8"/>
      <c r="AT24" s="8"/>
      <c r="AU24" s="8"/>
      <c r="AV24" s="8"/>
      <c r="AW24" s="8"/>
      <c r="AX24" s="8"/>
      <c r="AY24" s="8"/>
    </row>
    <row r="25" ht="17.45" customHeight="1">
      <c r="A25" t="s" s="250">
        <v>1290</v>
      </c>
      <c r="B25" t="s" s="250">
        <v>1291</v>
      </c>
      <c r="C25" s="253">
        <v>23</v>
      </c>
      <c r="D25" t="s" s="250">
        <v>1258</v>
      </c>
      <c r="E25" t="s" s="250">
        <v>1292</v>
      </c>
      <c r="F25" t="s" s="250">
        <v>463</v>
      </c>
      <c r="G25" s="253">
        <v>1</v>
      </c>
      <c r="H25" s="251"/>
      <c r="I25" s="251"/>
      <c r="J25" s="251"/>
      <c r="K25" s="251"/>
      <c r="L25" s="251"/>
      <c r="M25" s="251"/>
      <c r="N25" s="251"/>
      <c r="O25" t="s" s="250">
        <v>175</v>
      </c>
      <c r="P25" s="251"/>
      <c r="Q25" s="255">
        <v>55</v>
      </c>
      <c r="R25" s="251"/>
      <c r="S25" s="253">
        <v>1</v>
      </c>
      <c r="T25" s="251"/>
      <c r="U25" s="251"/>
      <c r="V25" s="251"/>
      <c r="W25" s="251"/>
      <c r="X25" t="s" s="250">
        <v>456</v>
      </c>
      <c r="Y25" s="251"/>
      <c r="Z25" s="251"/>
      <c r="AA25" s="251"/>
      <c r="AB25" s="251"/>
      <c r="AC25" s="253">
        <v>1</v>
      </c>
      <c r="AD25" s="251"/>
      <c r="AE25" s="252"/>
      <c r="AF25" s="8"/>
      <c r="AG25" s="8"/>
      <c r="AH25" s="8"/>
      <c r="AI25" s="8"/>
      <c r="AJ25" s="8"/>
      <c r="AK25" s="8"/>
      <c r="AL25" s="8"/>
      <c r="AM25" s="8"/>
      <c r="AN25" s="8"/>
      <c r="AO25" s="8"/>
      <c r="AP25" s="8"/>
      <c r="AQ25" s="8"/>
      <c r="AR25" s="8"/>
      <c r="AS25" s="8"/>
      <c r="AT25" s="8"/>
      <c r="AU25" s="8"/>
      <c r="AV25" s="8"/>
      <c r="AW25" s="8"/>
      <c r="AX25" s="8"/>
      <c r="AY25" s="8"/>
    </row>
    <row r="26" ht="17.45" customHeight="1">
      <c r="A26" t="s" s="250">
        <v>1290</v>
      </c>
      <c r="B26" t="s" s="250">
        <v>1291</v>
      </c>
      <c r="C26" s="253">
        <v>23</v>
      </c>
      <c r="D26" t="s" s="250">
        <v>1258</v>
      </c>
      <c r="E26" t="s" s="250">
        <v>1294</v>
      </c>
      <c r="F26" t="s" s="250">
        <v>161</v>
      </c>
      <c r="G26" s="253">
        <v>1</v>
      </c>
      <c r="H26" s="251"/>
      <c r="I26" s="251"/>
      <c r="J26" s="251"/>
      <c r="K26" s="251"/>
      <c r="L26" s="251"/>
      <c r="M26" s="251"/>
      <c r="N26" s="251"/>
      <c r="O26" s="251"/>
      <c r="P26" s="253">
        <v>1</v>
      </c>
      <c r="Q26" s="255">
        <v>27</v>
      </c>
      <c r="R26" s="251"/>
      <c r="S26" s="253">
        <v>1</v>
      </c>
      <c r="T26" s="251"/>
      <c r="U26" s="251"/>
      <c r="V26" s="251"/>
      <c r="W26" s="251"/>
      <c r="X26" t="s" s="250">
        <v>159</v>
      </c>
      <c r="Y26" s="251"/>
      <c r="Z26" s="253">
        <v>1</v>
      </c>
      <c r="AA26" s="251"/>
      <c r="AB26" s="251"/>
      <c r="AC26" s="251"/>
      <c r="AD26" t="s" s="250">
        <v>151</v>
      </c>
      <c r="AE26" s="252"/>
      <c r="AF26" s="8"/>
      <c r="AG26" s="8"/>
      <c r="AH26" s="8"/>
      <c r="AI26" s="8"/>
      <c r="AJ26" s="8"/>
      <c r="AK26" s="8"/>
      <c r="AL26" s="8"/>
      <c r="AM26" s="8"/>
      <c r="AN26" s="8"/>
      <c r="AO26" s="8"/>
      <c r="AP26" s="8"/>
      <c r="AQ26" s="8"/>
      <c r="AR26" s="8"/>
      <c r="AS26" s="8"/>
      <c r="AT26" s="8"/>
      <c r="AU26" s="8"/>
      <c r="AV26" s="8"/>
      <c r="AW26" s="8"/>
      <c r="AX26" s="8"/>
      <c r="AY26" s="8"/>
    </row>
    <row r="27" ht="17.45" customHeight="1">
      <c r="A27" t="s" s="250">
        <v>1290</v>
      </c>
      <c r="B27" t="s" s="250">
        <v>1291</v>
      </c>
      <c r="C27" s="253">
        <v>23</v>
      </c>
      <c r="D27" t="s" s="250">
        <v>1258</v>
      </c>
      <c r="E27" t="s" s="250">
        <v>1295</v>
      </c>
      <c r="F27" t="s" s="250">
        <v>1296</v>
      </c>
      <c r="G27" s="253">
        <v>1</v>
      </c>
      <c r="H27" s="251"/>
      <c r="I27" s="251"/>
      <c r="J27" s="251"/>
      <c r="K27" s="251"/>
      <c r="L27" s="251"/>
      <c r="M27" s="251"/>
      <c r="N27" s="251"/>
      <c r="O27" s="251"/>
      <c r="P27" s="253">
        <v>1</v>
      </c>
      <c r="Q27" s="255">
        <v>26</v>
      </c>
      <c r="R27" s="251"/>
      <c r="S27" s="253">
        <v>1</v>
      </c>
      <c r="T27" s="251"/>
      <c r="U27" s="251"/>
      <c r="V27" s="251"/>
      <c r="W27" s="251"/>
      <c r="X27" t="s" s="250">
        <v>162</v>
      </c>
      <c r="Y27" s="251"/>
      <c r="Z27" s="253">
        <v>1</v>
      </c>
      <c r="AA27" s="251"/>
      <c r="AB27" s="251"/>
      <c r="AC27" s="251"/>
      <c r="AD27" t="s" s="250">
        <v>1297</v>
      </c>
      <c r="AE27" s="252"/>
      <c r="AF27" s="8"/>
      <c r="AG27" s="8"/>
      <c r="AH27" s="8"/>
      <c r="AI27" s="8"/>
      <c r="AJ27" s="8"/>
      <c r="AK27" s="8"/>
      <c r="AL27" s="8"/>
      <c r="AM27" s="8"/>
      <c r="AN27" s="8"/>
      <c r="AO27" s="8"/>
      <c r="AP27" s="8"/>
      <c r="AQ27" s="8"/>
      <c r="AR27" s="8"/>
      <c r="AS27" s="8"/>
      <c r="AT27" s="8"/>
      <c r="AU27" s="8"/>
      <c r="AV27" s="8"/>
      <c r="AW27" s="8"/>
      <c r="AX27" s="8"/>
      <c r="AY27" s="8"/>
    </row>
    <row r="28" ht="17.45" customHeight="1">
      <c r="A28" t="s" s="250">
        <v>1298</v>
      </c>
      <c r="B28" s="251"/>
      <c r="C28" s="253">
        <v>25</v>
      </c>
      <c r="D28" t="s" s="250">
        <v>1258</v>
      </c>
      <c r="E28" t="s" s="250">
        <v>1299</v>
      </c>
      <c r="F28" t="s" s="250">
        <v>1300</v>
      </c>
      <c r="G28" s="251"/>
      <c r="H28" s="253">
        <v>1</v>
      </c>
      <c r="I28" s="251"/>
      <c r="J28" s="251"/>
      <c r="K28" s="253">
        <v>1</v>
      </c>
      <c r="L28" s="251"/>
      <c r="M28" s="251"/>
      <c r="N28" s="251"/>
      <c r="O28" s="251"/>
      <c r="P28" s="251"/>
      <c r="Q28" s="255">
        <v>55</v>
      </c>
      <c r="R28" s="251"/>
      <c r="S28" s="253">
        <v>1</v>
      </c>
      <c r="T28" s="251"/>
      <c r="U28" s="251"/>
      <c r="V28" s="251"/>
      <c r="W28" s="251"/>
      <c r="X28" t="s" s="250">
        <v>581</v>
      </c>
      <c r="Y28" s="251"/>
      <c r="Z28" s="253">
        <v>1</v>
      </c>
      <c r="AA28" s="253">
        <v>1</v>
      </c>
      <c r="AB28" s="251"/>
      <c r="AC28" s="251"/>
      <c r="AD28" t="s" s="250">
        <v>1301</v>
      </c>
      <c r="AE28" s="252"/>
      <c r="AF28" s="8"/>
      <c r="AG28" s="8"/>
      <c r="AH28" s="8"/>
      <c r="AI28" s="8"/>
      <c r="AJ28" s="8"/>
      <c r="AK28" s="8"/>
      <c r="AL28" s="8"/>
      <c r="AM28" s="8"/>
      <c r="AN28" s="8"/>
      <c r="AO28" s="8"/>
      <c r="AP28" s="8"/>
      <c r="AQ28" s="8"/>
      <c r="AR28" s="8"/>
      <c r="AS28" s="8"/>
      <c r="AT28" s="8"/>
      <c r="AU28" s="8"/>
      <c r="AV28" s="8"/>
      <c r="AW28" s="8"/>
      <c r="AX28" s="8"/>
      <c r="AY28" s="8"/>
    </row>
    <row r="29" ht="17.45" customHeight="1">
      <c r="A29" t="s" s="250">
        <v>1298</v>
      </c>
      <c r="B29" s="251"/>
      <c r="C29" s="253">
        <v>25</v>
      </c>
      <c r="D29" t="s" s="250">
        <v>1258</v>
      </c>
      <c r="E29" t="s" s="250">
        <v>1302</v>
      </c>
      <c r="F29" t="s" s="250">
        <v>204</v>
      </c>
      <c r="G29" s="253">
        <v>1</v>
      </c>
      <c r="H29" s="251"/>
      <c r="I29" s="251"/>
      <c r="J29" s="251"/>
      <c r="K29" s="251"/>
      <c r="L29" s="251"/>
      <c r="M29" s="251"/>
      <c r="N29" s="251"/>
      <c r="O29" s="251"/>
      <c r="P29" s="253">
        <v>1</v>
      </c>
      <c r="Q29" s="255">
        <v>25</v>
      </c>
      <c r="R29" s="251"/>
      <c r="S29" s="253">
        <v>1</v>
      </c>
      <c r="T29" s="251"/>
      <c r="U29" s="251"/>
      <c r="V29" s="251"/>
      <c r="W29" s="251"/>
      <c r="X29" t="s" s="250">
        <v>159</v>
      </c>
      <c r="Y29" s="251"/>
      <c r="Z29" s="253">
        <v>1</v>
      </c>
      <c r="AA29" s="251"/>
      <c r="AB29" s="251"/>
      <c r="AC29" s="251"/>
      <c r="AD29" t="s" s="250">
        <v>429</v>
      </c>
      <c r="AE29" s="252"/>
      <c r="AF29" s="8"/>
      <c r="AG29" s="8"/>
      <c r="AH29" s="8"/>
      <c r="AI29" s="8"/>
      <c r="AJ29" s="8"/>
      <c r="AK29" s="8"/>
      <c r="AL29" s="8"/>
      <c r="AM29" s="8"/>
      <c r="AN29" s="8"/>
      <c r="AO29" s="8"/>
      <c r="AP29" s="8"/>
      <c r="AQ29" s="8"/>
      <c r="AR29" s="8"/>
      <c r="AS29" s="8"/>
      <c r="AT29" s="8"/>
      <c r="AU29" s="8"/>
      <c r="AV29" s="8"/>
      <c r="AW29" s="8"/>
      <c r="AX29" s="8"/>
      <c r="AY29" s="8"/>
    </row>
    <row r="30" ht="17.45" customHeight="1">
      <c r="A30" t="s" s="250">
        <v>1298</v>
      </c>
      <c r="B30" s="251"/>
      <c r="C30" s="253">
        <v>25</v>
      </c>
      <c r="D30" t="s" s="250">
        <v>1258</v>
      </c>
      <c r="E30" t="s" s="250">
        <v>1299</v>
      </c>
      <c r="F30" t="s" s="250">
        <v>1262</v>
      </c>
      <c r="G30" s="253">
        <v>1</v>
      </c>
      <c r="H30" s="251"/>
      <c r="I30" s="251"/>
      <c r="J30" s="251"/>
      <c r="K30" s="251"/>
      <c r="L30" s="251"/>
      <c r="M30" s="251"/>
      <c r="N30" s="251"/>
      <c r="O30" t="s" s="250">
        <v>175</v>
      </c>
      <c r="P30" s="251"/>
      <c r="Q30" s="255">
        <v>54</v>
      </c>
      <c r="R30" s="251"/>
      <c r="S30" s="253">
        <v>1</v>
      </c>
      <c r="T30" s="251"/>
      <c r="U30" s="251"/>
      <c r="V30" s="251"/>
      <c r="W30" s="251"/>
      <c r="X30" t="s" s="250">
        <v>1303</v>
      </c>
      <c r="Y30" s="251"/>
      <c r="Z30" s="251"/>
      <c r="AA30" s="251"/>
      <c r="AB30" s="251"/>
      <c r="AC30" s="251"/>
      <c r="AD30" t="s" s="250">
        <v>1301</v>
      </c>
      <c r="AE30" s="252"/>
      <c r="AF30" s="8"/>
      <c r="AG30" s="8"/>
      <c r="AH30" s="8"/>
      <c r="AI30" s="8"/>
      <c r="AJ30" s="8"/>
      <c r="AK30" s="8"/>
      <c r="AL30" s="8"/>
      <c r="AM30" s="8"/>
      <c r="AN30" s="8"/>
      <c r="AO30" s="8"/>
      <c r="AP30" s="8"/>
      <c r="AQ30" s="8"/>
      <c r="AR30" s="8"/>
      <c r="AS30" s="8"/>
      <c r="AT30" s="8"/>
      <c r="AU30" s="8"/>
      <c r="AV30" s="8"/>
      <c r="AW30" s="8"/>
      <c r="AX30" s="8"/>
      <c r="AY30" s="8"/>
    </row>
    <row r="31" ht="17.45" customHeight="1">
      <c r="A31" t="s" s="250">
        <v>1298</v>
      </c>
      <c r="B31" s="251"/>
      <c r="C31" s="253">
        <v>25</v>
      </c>
      <c r="D31" t="s" s="250">
        <v>1258</v>
      </c>
      <c r="E31" t="s" s="250">
        <v>1299</v>
      </c>
      <c r="F31" t="s" s="250">
        <v>1304</v>
      </c>
      <c r="G31" s="253">
        <v>1</v>
      </c>
      <c r="H31" s="251"/>
      <c r="I31" s="251"/>
      <c r="J31" s="251"/>
      <c r="K31" s="251"/>
      <c r="L31" s="251"/>
      <c r="M31" s="251"/>
      <c r="N31" s="251"/>
      <c r="O31" t="s" s="250">
        <v>175</v>
      </c>
      <c r="P31" s="251"/>
      <c r="Q31" s="255">
        <v>47</v>
      </c>
      <c r="R31" s="251"/>
      <c r="S31" s="253">
        <v>1</v>
      </c>
      <c r="T31" s="251"/>
      <c r="U31" s="251"/>
      <c r="V31" s="251"/>
      <c r="W31" s="251"/>
      <c r="X31" t="s" s="250">
        <v>1305</v>
      </c>
      <c r="Y31" s="251"/>
      <c r="Z31" s="253">
        <v>1</v>
      </c>
      <c r="AA31" t="s" s="250">
        <v>1306</v>
      </c>
      <c r="AB31" s="253">
        <v>1</v>
      </c>
      <c r="AC31" s="253">
        <v>1</v>
      </c>
      <c r="AD31" s="251"/>
      <c r="AE31" s="252"/>
      <c r="AF31" s="8"/>
      <c r="AG31" s="8"/>
      <c r="AH31" s="8"/>
      <c r="AI31" s="8"/>
      <c r="AJ31" s="8"/>
      <c r="AK31" s="8"/>
      <c r="AL31" s="8"/>
      <c r="AM31" s="8"/>
      <c r="AN31" s="8"/>
      <c r="AO31" s="8"/>
      <c r="AP31" s="8"/>
      <c r="AQ31" s="8"/>
      <c r="AR31" s="8"/>
      <c r="AS31" s="8"/>
      <c r="AT31" s="8"/>
      <c r="AU31" s="8"/>
      <c r="AV31" s="8"/>
      <c r="AW31" s="8"/>
      <c r="AX31" s="8"/>
      <c r="AY31" s="8"/>
    </row>
    <row r="32" ht="17.45" customHeight="1">
      <c r="A32" t="s" s="250">
        <v>1298</v>
      </c>
      <c r="B32" s="251"/>
      <c r="C32" s="253">
        <v>25</v>
      </c>
      <c r="D32" t="s" s="250">
        <v>1258</v>
      </c>
      <c r="E32" t="s" s="250">
        <v>1299</v>
      </c>
      <c r="F32" t="s" s="250">
        <v>1307</v>
      </c>
      <c r="G32" s="253">
        <v>1</v>
      </c>
      <c r="H32" s="251"/>
      <c r="I32" s="251"/>
      <c r="J32" s="251"/>
      <c r="K32" s="251"/>
      <c r="L32" s="251"/>
      <c r="M32" s="251"/>
      <c r="N32" s="251"/>
      <c r="O32" t="s" s="250">
        <v>175</v>
      </c>
      <c r="P32" s="251"/>
      <c r="Q32" s="255">
        <v>42</v>
      </c>
      <c r="R32" s="251"/>
      <c r="S32" s="253">
        <v>1</v>
      </c>
      <c r="T32" s="251"/>
      <c r="U32" s="251"/>
      <c r="V32" s="251"/>
      <c r="W32" s="251"/>
      <c r="X32" t="s" s="250">
        <v>1308</v>
      </c>
      <c r="Y32" s="251"/>
      <c r="Z32" s="253">
        <v>1</v>
      </c>
      <c r="AA32" t="s" s="250">
        <v>1309</v>
      </c>
      <c r="AB32" s="251"/>
      <c r="AC32" s="253">
        <v>1</v>
      </c>
      <c r="AD32" s="251"/>
      <c r="AE32" s="252"/>
      <c r="AF32" s="8"/>
      <c r="AG32" s="8"/>
      <c r="AH32" s="8"/>
      <c r="AI32" s="8"/>
      <c r="AJ32" s="8"/>
      <c r="AK32" s="8"/>
      <c r="AL32" s="8"/>
      <c r="AM32" s="8"/>
      <c r="AN32" s="8"/>
      <c r="AO32" s="8"/>
      <c r="AP32" s="8"/>
      <c r="AQ32" s="8"/>
      <c r="AR32" s="8"/>
      <c r="AS32" s="8"/>
      <c r="AT32" s="8"/>
      <c r="AU32" s="8"/>
      <c r="AV32" s="8"/>
      <c r="AW32" s="8"/>
      <c r="AX32" s="8"/>
      <c r="AY32" s="8"/>
    </row>
    <row r="33" ht="17.45" customHeight="1">
      <c r="A33" t="s" s="250">
        <v>1298</v>
      </c>
      <c r="B33" s="251"/>
      <c r="C33" s="253">
        <v>25</v>
      </c>
      <c r="D33" t="s" s="250">
        <v>1258</v>
      </c>
      <c r="E33" t="s" s="250">
        <v>1299</v>
      </c>
      <c r="F33" t="s" s="250">
        <v>1310</v>
      </c>
      <c r="G33" s="253">
        <v>1</v>
      </c>
      <c r="H33" s="251"/>
      <c r="I33" s="251"/>
      <c r="J33" s="251"/>
      <c r="K33" s="251"/>
      <c r="L33" s="251"/>
      <c r="M33" s="251"/>
      <c r="N33" s="251"/>
      <c r="O33" t="s" s="250">
        <v>175</v>
      </c>
      <c r="P33" s="251"/>
      <c r="Q33" s="255">
        <v>39</v>
      </c>
      <c r="R33" s="251"/>
      <c r="S33" s="253">
        <v>1</v>
      </c>
      <c r="T33" s="251"/>
      <c r="U33" s="251"/>
      <c r="V33" s="251"/>
      <c r="W33" s="251"/>
      <c r="X33" t="s" s="250">
        <v>1311</v>
      </c>
      <c r="Y33" s="251"/>
      <c r="Z33" s="253">
        <v>1</v>
      </c>
      <c r="AA33" t="s" s="250">
        <v>1309</v>
      </c>
      <c r="AB33" s="251"/>
      <c r="AC33" s="253">
        <v>1</v>
      </c>
      <c r="AD33" s="251"/>
      <c r="AE33" s="252"/>
      <c r="AF33" s="8"/>
      <c r="AG33" s="8"/>
      <c r="AH33" s="8"/>
      <c r="AI33" s="8"/>
      <c r="AJ33" s="8"/>
      <c r="AK33" s="8"/>
      <c r="AL33" s="8"/>
      <c r="AM33" s="8"/>
      <c r="AN33" s="8"/>
      <c r="AO33" s="8"/>
      <c r="AP33" s="8"/>
      <c r="AQ33" s="8"/>
      <c r="AR33" s="8"/>
      <c r="AS33" s="8"/>
      <c r="AT33" s="8"/>
      <c r="AU33" s="8"/>
      <c r="AV33" s="8"/>
      <c r="AW33" s="8"/>
      <c r="AX33" s="8"/>
      <c r="AY33" s="8"/>
    </row>
    <row r="34" ht="17.45" customHeight="1">
      <c r="A34" t="s" s="250">
        <v>1298</v>
      </c>
      <c r="B34" s="251"/>
      <c r="C34" s="253">
        <v>25</v>
      </c>
      <c r="D34" t="s" s="250">
        <v>1258</v>
      </c>
      <c r="E34" t="s" s="250">
        <v>1312</v>
      </c>
      <c r="F34" t="s" s="250">
        <v>1313</v>
      </c>
      <c r="G34" s="253">
        <v>1</v>
      </c>
      <c r="H34" s="251"/>
      <c r="I34" s="251"/>
      <c r="J34" s="251"/>
      <c r="K34" s="251"/>
      <c r="L34" s="251"/>
      <c r="M34" s="251"/>
      <c r="N34" s="251"/>
      <c r="O34" t="s" s="250">
        <v>441</v>
      </c>
      <c r="P34" s="251"/>
      <c r="Q34" s="255">
        <v>31</v>
      </c>
      <c r="R34" s="251"/>
      <c r="S34" s="253">
        <v>1</v>
      </c>
      <c r="T34" s="251"/>
      <c r="U34" s="251"/>
      <c r="V34" s="251"/>
      <c r="W34" s="251"/>
      <c r="X34" t="s" s="250">
        <v>1305</v>
      </c>
      <c r="Y34" s="251"/>
      <c r="Z34" s="253">
        <v>1</v>
      </c>
      <c r="AA34" t="s" s="250">
        <v>1306</v>
      </c>
      <c r="AB34" s="253">
        <v>1</v>
      </c>
      <c r="AC34" s="251"/>
      <c r="AD34" t="s" s="250">
        <v>1022</v>
      </c>
      <c r="AE34" s="252"/>
      <c r="AF34" s="8"/>
      <c r="AG34" s="8"/>
      <c r="AH34" s="8"/>
      <c r="AI34" s="8"/>
      <c r="AJ34" s="8"/>
      <c r="AK34" s="8"/>
      <c r="AL34" s="8"/>
      <c r="AM34" s="8"/>
      <c r="AN34" s="8"/>
      <c r="AO34" s="8"/>
      <c r="AP34" s="8"/>
      <c r="AQ34" s="8"/>
      <c r="AR34" s="8"/>
      <c r="AS34" s="8"/>
      <c r="AT34" s="8"/>
      <c r="AU34" s="8"/>
      <c r="AV34" s="8"/>
      <c r="AW34" s="8"/>
      <c r="AX34" s="8"/>
      <c r="AY34" s="8"/>
    </row>
    <row r="35" ht="17.45" customHeight="1">
      <c r="A35" t="s" s="250">
        <v>1298</v>
      </c>
      <c r="B35" s="251"/>
      <c r="C35" s="253">
        <v>25</v>
      </c>
      <c r="D35" t="s" s="250">
        <v>1258</v>
      </c>
      <c r="E35" t="s" s="250">
        <v>1314</v>
      </c>
      <c r="F35" t="s" s="250">
        <v>1315</v>
      </c>
      <c r="G35" s="253">
        <v>1</v>
      </c>
      <c r="H35" s="251"/>
      <c r="I35" s="251"/>
      <c r="J35" s="251"/>
      <c r="K35" s="251"/>
      <c r="L35" s="251"/>
      <c r="M35" s="251"/>
      <c r="N35" s="251"/>
      <c r="O35" s="251"/>
      <c r="P35" s="253">
        <v>1</v>
      </c>
      <c r="Q35" s="255">
        <v>19</v>
      </c>
      <c r="R35" s="251"/>
      <c r="S35" s="253">
        <v>1</v>
      </c>
      <c r="T35" s="251"/>
      <c r="U35" s="251"/>
      <c r="V35" s="251"/>
      <c r="W35" s="251"/>
      <c r="X35" t="s" s="250">
        <v>162</v>
      </c>
      <c r="Y35" s="251"/>
      <c r="Z35" s="253">
        <v>1</v>
      </c>
      <c r="AA35" s="251"/>
      <c r="AB35" s="251"/>
      <c r="AC35" s="251"/>
      <c r="AD35" t="s" s="250">
        <v>429</v>
      </c>
      <c r="AE35" s="252"/>
      <c r="AF35" s="8"/>
      <c r="AG35" s="8"/>
      <c r="AH35" s="8"/>
      <c r="AI35" s="8"/>
      <c r="AJ35" s="8"/>
      <c r="AK35" s="8"/>
      <c r="AL35" s="8"/>
      <c r="AM35" s="8"/>
      <c r="AN35" s="8"/>
      <c r="AO35" s="8"/>
      <c r="AP35" s="8"/>
      <c r="AQ35" s="8"/>
      <c r="AR35" s="8"/>
      <c r="AS35" s="8"/>
      <c r="AT35" s="8"/>
      <c r="AU35" s="8"/>
      <c r="AV35" s="8"/>
      <c r="AW35" s="8"/>
      <c r="AX35" s="8"/>
      <c r="AY35" s="8"/>
    </row>
    <row r="36" ht="17.45" customHeight="1">
      <c r="A36" t="s" s="250">
        <v>1298</v>
      </c>
      <c r="B36" s="251"/>
      <c r="C36" s="253">
        <v>25</v>
      </c>
      <c r="D36" t="s" s="250">
        <v>1258</v>
      </c>
      <c r="E36" t="s" s="250">
        <v>274</v>
      </c>
      <c r="F36" t="s" s="250">
        <v>51</v>
      </c>
      <c r="G36" s="253">
        <v>1</v>
      </c>
      <c r="H36" s="253">
        <v>1</v>
      </c>
      <c r="I36" s="251"/>
      <c r="J36" s="251"/>
      <c r="K36" s="251"/>
      <c r="L36" s="251"/>
      <c r="M36" s="251"/>
      <c r="N36" s="251"/>
      <c r="O36" s="251"/>
      <c r="P36" s="253">
        <v>1</v>
      </c>
      <c r="Q36" s="255">
        <v>30</v>
      </c>
      <c r="R36" s="251"/>
      <c r="S36" s="253">
        <v>1</v>
      </c>
      <c r="T36" s="251"/>
      <c r="U36" s="251"/>
      <c r="V36" s="251"/>
      <c r="W36" s="251"/>
      <c r="X36" t="s" s="250">
        <v>165</v>
      </c>
      <c r="Y36" s="251"/>
      <c r="Z36" s="253">
        <v>1</v>
      </c>
      <c r="AA36" s="251"/>
      <c r="AB36" s="251"/>
      <c r="AC36" s="251"/>
      <c r="AD36" t="s" s="250">
        <v>146</v>
      </c>
      <c r="AE36" s="252"/>
      <c r="AF36" s="8"/>
      <c r="AG36" s="8"/>
      <c r="AH36" s="8"/>
      <c r="AI36" s="8"/>
      <c r="AJ36" s="8"/>
      <c r="AK36" s="8"/>
      <c r="AL36" s="8"/>
      <c r="AM36" s="8"/>
      <c r="AN36" s="8"/>
      <c r="AO36" s="8"/>
      <c r="AP36" s="8"/>
      <c r="AQ36" s="8"/>
      <c r="AR36" s="8"/>
      <c r="AS36" s="8"/>
      <c r="AT36" s="8"/>
      <c r="AU36" s="8"/>
      <c r="AV36" s="8"/>
      <c r="AW36" s="8"/>
      <c r="AX36" s="8"/>
      <c r="AY36" s="8"/>
    </row>
    <row r="37" ht="85" customHeight="1">
      <c r="A37" t="s" s="250">
        <v>1316</v>
      </c>
      <c r="B37" s="251"/>
      <c r="C37" s="253">
        <v>9</v>
      </c>
      <c r="D37" t="s" s="250">
        <v>1258</v>
      </c>
      <c r="E37" t="s" s="250">
        <v>1052</v>
      </c>
      <c r="F37" t="s" s="250">
        <v>1317</v>
      </c>
      <c r="G37" s="251"/>
      <c r="H37" s="251"/>
      <c r="I37" s="251"/>
      <c r="J37" s="251"/>
      <c r="K37" s="251"/>
      <c r="L37" s="251"/>
      <c r="M37" s="251"/>
      <c r="N37" s="253">
        <v>1</v>
      </c>
      <c r="O37" s="251"/>
      <c r="P37" s="251"/>
      <c r="Q37" s="255">
        <v>33</v>
      </c>
      <c r="R37" s="251"/>
      <c r="S37" s="253">
        <v>1</v>
      </c>
      <c r="T37" s="251"/>
      <c r="U37" s="251"/>
      <c r="V37" s="251"/>
      <c r="W37" s="251"/>
      <c r="X37" t="s" s="250">
        <v>337</v>
      </c>
      <c r="Y37" s="251"/>
      <c r="Z37" s="253">
        <v>1</v>
      </c>
      <c r="AA37" s="251"/>
      <c r="AB37" s="251"/>
      <c r="AC37" s="253">
        <v>1</v>
      </c>
      <c r="AD37" s="251"/>
      <c r="AE37" t="s" s="270">
        <v>1318</v>
      </c>
      <c r="AF37" s="8"/>
      <c r="AG37" s="8"/>
      <c r="AH37" s="8"/>
      <c r="AI37" s="8"/>
      <c r="AJ37" s="8"/>
      <c r="AK37" s="8"/>
      <c r="AL37" s="8"/>
      <c r="AM37" s="8"/>
      <c r="AN37" s="8"/>
      <c r="AO37" s="8"/>
      <c r="AP37" s="8"/>
      <c r="AQ37" s="8"/>
      <c r="AR37" s="8"/>
      <c r="AS37" s="8"/>
      <c r="AT37" s="8"/>
      <c r="AU37" s="8"/>
      <c r="AV37" s="8"/>
      <c r="AW37" s="8"/>
      <c r="AX37" s="8"/>
      <c r="AY37" s="8"/>
    </row>
    <row r="38" ht="17.45" customHeight="1">
      <c r="A38" t="s" s="250">
        <v>1316</v>
      </c>
      <c r="B38" s="251"/>
      <c r="C38" s="253">
        <v>9</v>
      </c>
      <c r="D38" t="s" s="250">
        <v>1258</v>
      </c>
      <c r="E38" t="s" s="250">
        <v>1319</v>
      </c>
      <c r="F38" t="s" s="250">
        <v>1320</v>
      </c>
      <c r="G38" s="253">
        <v>1</v>
      </c>
      <c r="H38" s="251"/>
      <c r="I38" s="251"/>
      <c r="J38" s="251"/>
      <c r="K38" s="251"/>
      <c r="L38" s="251"/>
      <c r="M38" s="251"/>
      <c r="N38" s="251"/>
      <c r="O38" s="251"/>
      <c r="P38" s="253">
        <v>1</v>
      </c>
      <c r="Q38" s="255">
        <v>43</v>
      </c>
      <c r="R38" s="251"/>
      <c r="S38" s="253">
        <v>1</v>
      </c>
      <c r="T38" s="251"/>
      <c r="U38" s="251"/>
      <c r="V38" s="251"/>
      <c r="W38" s="251"/>
      <c r="X38" t="s" s="250">
        <v>159</v>
      </c>
      <c r="Y38" s="251"/>
      <c r="Z38" s="253">
        <v>1</v>
      </c>
      <c r="AA38" s="251"/>
      <c r="AB38" s="253">
        <v>1</v>
      </c>
      <c r="AC38" s="253">
        <v>1</v>
      </c>
      <c r="AD38" s="251"/>
      <c r="AE38" s="252"/>
      <c r="AF38" s="8"/>
      <c r="AG38" s="8"/>
      <c r="AH38" s="8"/>
      <c r="AI38" s="8"/>
      <c r="AJ38" s="8"/>
      <c r="AK38" s="8"/>
      <c r="AL38" s="8"/>
      <c r="AM38" s="8"/>
      <c r="AN38" s="8"/>
      <c r="AO38" s="8"/>
      <c r="AP38" s="8"/>
      <c r="AQ38" s="8"/>
      <c r="AR38" s="8"/>
      <c r="AS38" s="8"/>
      <c r="AT38" s="8"/>
      <c r="AU38" s="8"/>
      <c r="AV38" s="8"/>
      <c r="AW38" s="8"/>
      <c r="AX38" s="8"/>
      <c r="AY38" s="8"/>
    </row>
    <row r="39" ht="17.45" customHeight="1">
      <c r="A39" t="s" s="250">
        <v>1316</v>
      </c>
      <c r="B39" s="251"/>
      <c r="C39" s="253">
        <v>9</v>
      </c>
      <c r="D39" t="s" s="250">
        <v>1258</v>
      </c>
      <c r="E39" t="s" s="250">
        <v>1321</v>
      </c>
      <c r="F39" t="s" s="250">
        <v>1322</v>
      </c>
      <c r="G39" s="253">
        <v>1</v>
      </c>
      <c r="H39" s="251"/>
      <c r="I39" s="251"/>
      <c r="J39" s="251"/>
      <c r="K39" s="251"/>
      <c r="L39" s="251"/>
      <c r="M39" s="251"/>
      <c r="N39" s="251"/>
      <c r="O39" s="251"/>
      <c r="P39" s="253">
        <v>1</v>
      </c>
      <c r="Q39" s="255">
        <v>34</v>
      </c>
      <c r="R39" s="251"/>
      <c r="S39" s="253">
        <v>1</v>
      </c>
      <c r="T39" s="251"/>
      <c r="U39" s="251"/>
      <c r="V39" s="251"/>
      <c r="W39" s="251"/>
      <c r="X39" t="s" s="250">
        <v>194</v>
      </c>
      <c r="Y39" s="251"/>
      <c r="Z39" s="253">
        <v>1</v>
      </c>
      <c r="AA39" s="251"/>
      <c r="AB39" s="253">
        <v>1</v>
      </c>
      <c r="AC39" s="251"/>
      <c r="AD39" t="s" s="250">
        <v>400</v>
      </c>
      <c r="AE39" s="252"/>
      <c r="AF39" s="8"/>
      <c r="AG39" s="8"/>
      <c r="AH39" s="8"/>
      <c r="AI39" s="8"/>
      <c r="AJ39" s="8"/>
      <c r="AK39" s="8"/>
      <c r="AL39" s="8"/>
      <c r="AM39" s="8"/>
      <c r="AN39" s="8"/>
      <c r="AO39" s="8"/>
      <c r="AP39" s="8"/>
      <c r="AQ39" s="8"/>
      <c r="AR39" s="8"/>
      <c r="AS39" s="8"/>
      <c r="AT39" s="8"/>
      <c r="AU39" s="8"/>
      <c r="AV39" s="8"/>
      <c r="AW39" s="8"/>
      <c r="AX39" s="8"/>
      <c r="AY39" s="8"/>
    </row>
    <row r="40" ht="17.45" customHeight="1">
      <c r="A40" t="s" s="250">
        <v>1323</v>
      </c>
      <c r="B40" s="251"/>
      <c r="C40" s="253">
        <v>7</v>
      </c>
      <c r="D40" t="s" s="250">
        <v>1258</v>
      </c>
      <c r="E40" t="s" s="250">
        <v>1324</v>
      </c>
      <c r="F40" t="s" s="250">
        <v>1325</v>
      </c>
      <c r="G40" s="251"/>
      <c r="H40" s="253">
        <v>1</v>
      </c>
      <c r="I40" s="251"/>
      <c r="J40" s="251"/>
      <c r="K40" s="253">
        <v>1</v>
      </c>
      <c r="L40" s="251"/>
      <c r="M40" s="251"/>
      <c r="N40" s="251"/>
      <c r="O40" s="251"/>
      <c r="P40" s="251"/>
      <c r="Q40" s="255">
        <v>43</v>
      </c>
      <c r="R40" s="253">
        <v>1</v>
      </c>
      <c r="S40" s="251"/>
      <c r="T40" s="251"/>
      <c r="U40" s="251"/>
      <c r="V40" s="251"/>
      <c r="W40" s="251"/>
      <c r="X40" t="s" s="250">
        <v>1214</v>
      </c>
      <c r="Y40" s="251"/>
      <c r="Z40" s="253">
        <v>1</v>
      </c>
      <c r="AA40" s="253">
        <v>1</v>
      </c>
      <c r="AB40" s="251"/>
      <c r="AC40" s="253">
        <v>1</v>
      </c>
      <c r="AD40" s="251"/>
      <c r="AE40" s="252"/>
      <c r="AF40" s="8"/>
      <c r="AG40" s="8"/>
      <c r="AH40" s="8"/>
      <c r="AI40" s="8"/>
      <c r="AJ40" s="8"/>
      <c r="AK40" s="8"/>
      <c r="AL40" s="8"/>
      <c r="AM40" s="8"/>
      <c r="AN40" s="8"/>
      <c r="AO40" s="8"/>
      <c r="AP40" s="8"/>
      <c r="AQ40" s="8"/>
      <c r="AR40" s="8"/>
      <c r="AS40" s="8"/>
      <c r="AT40" s="8"/>
      <c r="AU40" s="8"/>
      <c r="AV40" s="8"/>
      <c r="AW40" s="8"/>
      <c r="AX40" s="8"/>
      <c r="AY40" s="8"/>
    </row>
    <row r="41" ht="17.45" customHeight="1">
      <c r="A41" t="s" s="250">
        <v>1323</v>
      </c>
      <c r="B41" s="251"/>
      <c r="C41" s="253">
        <v>7</v>
      </c>
      <c r="D41" t="s" s="250">
        <v>1258</v>
      </c>
      <c r="E41" t="s" s="250">
        <v>1324</v>
      </c>
      <c r="F41" t="s" s="250">
        <v>1326</v>
      </c>
      <c r="G41" s="253">
        <v>1</v>
      </c>
      <c r="H41" s="251"/>
      <c r="I41" s="251"/>
      <c r="J41" s="251"/>
      <c r="K41" s="251"/>
      <c r="L41" s="253">
        <v>1</v>
      </c>
      <c r="M41" s="251"/>
      <c r="N41" s="251"/>
      <c r="O41" s="251"/>
      <c r="P41" s="251"/>
      <c r="Q41" s="255">
        <v>42</v>
      </c>
      <c r="R41" s="253">
        <v>1</v>
      </c>
      <c r="S41" s="251"/>
      <c r="T41" s="251"/>
      <c r="U41" s="253">
        <v>19</v>
      </c>
      <c r="V41" s="253">
        <v>2</v>
      </c>
      <c r="W41" s="253">
        <v>2</v>
      </c>
      <c r="X41" s="251"/>
      <c r="Y41" s="251"/>
      <c r="Z41" s="251"/>
      <c r="AA41" s="251"/>
      <c r="AB41" s="251"/>
      <c r="AC41" s="253">
        <v>1</v>
      </c>
      <c r="AD41" s="251"/>
      <c r="AE41" s="252"/>
      <c r="AF41" s="8"/>
      <c r="AG41" s="8"/>
      <c r="AH41" s="8"/>
      <c r="AI41" s="8"/>
      <c r="AJ41" s="8"/>
      <c r="AK41" s="8"/>
      <c r="AL41" s="8"/>
      <c r="AM41" s="8"/>
      <c r="AN41" s="8"/>
      <c r="AO41" s="8"/>
      <c r="AP41" s="8"/>
      <c r="AQ41" s="8"/>
      <c r="AR41" s="8"/>
      <c r="AS41" s="8"/>
      <c r="AT41" s="8"/>
      <c r="AU41" s="8"/>
      <c r="AV41" s="8"/>
      <c r="AW41" s="8"/>
      <c r="AX41" s="8"/>
      <c r="AY41" s="8"/>
    </row>
    <row r="42" ht="17.45" customHeight="1">
      <c r="A42" t="s" s="250">
        <v>1323</v>
      </c>
      <c r="B42" s="251"/>
      <c r="C42" s="253">
        <v>7</v>
      </c>
      <c r="D42" t="s" s="250">
        <v>1258</v>
      </c>
      <c r="E42" t="s" s="250">
        <v>1324</v>
      </c>
      <c r="F42" t="s" s="250">
        <v>1327</v>
      </c>
      <c r="G42" s="251"/>
      <c r="H42" s="251"/>
      <c r="I42" s="253">
        <v>1</v>
      </c>
      <c r="J42" s="251"/>
      <c r="K42" s="251"/>
      <c r="L42" s="251"/>
      <c r="M42" s="253">
        <v>1</v>
      </c>
      <c r="N42" s="251"/>
      <c r="O42" s="251"/>
      <c r="P42" s="251"/>
      <c r="Q42" s="255">
        <v>14</v>
      </c>
      <c r="R42" s="251"/>
      <c r="S42" s="251"/>
      <c r="T42" s="251"/>
      <c r="U42" s="251"/>
      <c r="V42" s="251"/>
      <c r="W42" s="251"/>
      <c r="X42" t="s" s="250">
        <v>544</v>
      </c>
      <c r="Y42" s="251"/>
      <c r="Z42" s="251"/>
      <c r="AA42" s="251"/>
      <c r="AB42" s="251"/>
      <c r="AC42" s="253">
        <v>1</v>
      </c>
      <c r="AD42" s="251"/>
      <c r="AE42" s="252"/>
      <c r="AF42" s="8"/>
      <c r="AG42" s="8"/>
      <c r="AH42" s="8"/>
      <c r="AI42" s="8"/>
      <c r="AJ42" s="8"/>
      <c r="AK42" s="8"/>
      <c r="AL42" s="8"/>
      <c r="AM42" s="8"/>
      <c r="AN42" s="8"/>
      <c r="AO42" s="8"/>
      <c r="AP42" s="8"/>
      <c r="AQ42" s="8"/>
      <c r="AR42" s="8"/>
      <c r="AS42" s="8"/>
      <c r="AT42" s="8"/>
      <c r="AU42" s="8"/>
      <c r="AV42" s="8"/>
      <c r="AW42" s="8"/>
      <c r="AX42" s="8"/>
      <c r="AY42" s="8"/>
    </row>
    <row r="43" ht="17.45" customHeight="1">
      <c r="A43" t="s" s="250">
        <v>1323</v>
      </c>
      <c r="B43" s="251"/>
      <c r="C43" s="253">
        <v>7</v>
      </c>
      <c r="D43" t="s" s="250">
        <v>1258</v>
      </c>
      <c r="E43" t="s" s="250">
        <v>1328</v>
      </c>
      <c r="F43" t="s" s="250">
        <v>451</v>
      </c>
      <c r="G43" s="253">
        <v>1</v>
      </c>
      <c r="H43" s="251"/>
      <c r="I43" s="251"/>
      <c r="J43" s="251"/>
      <c r="K43" s="251"/>
      <c r="L43" s="251"/>
      <c r="M43" s="251"/>
      <c r="N43" s="251"/>
      <c r="O43" s="251"/>
      <c r="P43" s="253">
        <v>1</v>
      </c>
      <c r="Q43" s="255">
        <v>39</v>
      </c>
      <c r="R43" s="251"/>
      <c r="S43" s="253">
        <v>1</v>
      </c>
      <c r="T43" s="251"/>
      <c r="U43" s="251"/>
      <c r="V43" s="251"/>
      <c r="W43" s="251"/>
      <c r="X43" t="s" s="250">
        <v>159</v>
      </c>
      <c r="Y43" s="251"/>
      <c r="Z43" s="253">
        <v>1</v>
      </c>
      <c r="AA43" s="251"/>
      <c r="AB43" s="251"/>
      <c r="AC43" s="251"/>
      <c r="AD43" t="s" s="250">
        <v>983</v>
      </c>
      <c r="AE43" s="252"/>
      <c r="AF43" s="8"/>
      <c r="AG43" s="8"/>
      <c r="AH43" s="8"/>
      <c r="AI43" s="8"/>
      <c r="AJ43" s="8"/>
      <c r="AK43" s="8"/>
      <c r="AL43" s="8"/>
      <c r="AM43" s="8"/>
      <c r="AN43" s="8"/>
      <c r="AO43" s="8"/>
      <c r="AP43" s="8"/>
      <c r="AQ43" s="8"/>
      <c r="AR43" s="8"/>
      <c r="AS43" s="8"/>
      <c r="AT43" s="8"/>
      <c r="AU43" s="8"/>
      <c r="AV43" s="8"/>
      <c r="AW43" s="8"/>
      <c r="AX43" s="8"/>
      <c r="AY43" s="8"/>
    </row>
    <row r="44" ht="17.45" customHeight="1">
      <c r="A44" t="s" s="250">
        <v>1323</v>
      </c>
      <c r="B44" s="251"/>
      <c r="C44" s="253">
        <v>7</v>
      </c>
      <c r="D44" t="s" s="250">
        <v>1258</v>
      </c>
      <c r="E44" t="s" s="250">
        <v>1329</v>
      </c>
      <c r="F44" t="s" s="250">
        <v>310</v>
      </c>
      <c r="G44" s="253">
        <v>1</v>
      </c>
      <c r="H44" s="251"/>
      <c r="I44" s="251"/>
      <c r="J44" s="251"/>
      <c r="K44" s="251"/>
      <c r="L44" s="251"/>
      <c r="M44" s="251"/>
      <c r="N44" s="251"/>
      <c r="O44" s="251"/>
      <c r="P44" s="253">
        <v>1</v>
      </c>
      <c r="Q44" s="255">
        <v>22</v>
      </c>
      <c r="R44" s="251"/>
      <c r="S44" s="253">
        <v>1</v>
      </c>
      <c r="T44" s="251"/>
      <c r="U44" s="251"/>
      <c r="V44" s="251"/>
      <c r="W44" s="251"/>
      <c r="X44" t="s" s="250">
        <v>162</v>
      </c>
      <c r="Y44" s="251"/>
      <c r="Z44" s="253">
        <v>1</v>
      </c>
      <c r="AA44" s="251"/>
      <c r="AB44" s="251"/>
      <c r="AC44" s="251"/>
      <c r="AD44" t="s" s="250">
        <v>240</v>
      </c>
      <c r="AE44" s="271"/>
      <c r="AF44" s="8"/>
      <c r="AG44" s="8"/>
      <c r="AH44" s="8"/>
      <c r="AI44" s="8"/>
      <c r="AJ44" s="8"/>
      <c r="AK44" s="8"/>
      <c r="AL44" s="8"/>
      <c r="AM44" s="8"/>
      <c r="AN44" s="8"/>
      <c r="AO44" s="8"/>
      <c r="AP44" s="8"/>
      <c r="AQ44" s="8"/>
      <c r="AR44" s="8"/>
      <c r="AS44" s="8"/>
      <c r="AT44" s="8"/>
      <c r="AU44" s="8"/>
      <c r="AV44" s="8"/>
      <c r="AW44" s="8"/>
      <c r="AX44" s="8"/>
      <c r="AY44" s="8"/>
    </row>
    <row r="45" ht="69" customHeight="1">
      <c r="A45" t="s" s="250">
        <v>1330</v>
      </c>
      <c r="B45" s="251"/>
      <c r="C45" s="253">
        <v>5</v>
      </c>
      <c r="D45" t="s" s="250">
        <v>1258</v>
      </c>
      <c r="E45" t="s" s="250">
        <v>210</v>
      </c>
      <c r="F45" t="s" s="176">
        <v>709</v>
      </c>
      <c r="G45" s="253">
        <v>1</v>
      </c>
      <c r="H45" s="98"/>
      <c r="I45" s="98"/>
      <c r="J45" s="98"/>
      <c r="K45" s="98"/>
      <c r="L45" s="98"/>
      <c r="M45" s="98"/>
      <c r="N45" s="98"/>
      <c r="O45" s="98"/>
      <c r="P45" s="97">
        <v>1</v>
      </c>
      <c r="Q45" s="97">
        <v>42</v>
      </c>
      <c r="R45" s="98"/>
      <c r="S45" s="98"/>
      <c r="T45" s="98"/>
      <c r="U45" s="98"/>
      <c r="V45" s="98"/>
      <c r="W45" s="98"/>
      <c r="X45" t="s" s="176">
        <v>1331</v>
      </c>
      <c r="Y45" s="98"/>
      <c r="Z45" s="97">
        <v>1</v>
      </c>
      <c r="AA45" s="98"/>
      <c r="AB45" s="98"/>
      <c r="AC45" s="97">
        <v>1</v>
      </c>
      <c r="AD45" s="98"/>
      <c r="AE45" t="s" s="176">
        <v>1332</v>
      </c>
      <c r="AF45" s="252"/>
      <c r="AG45" s="8"/>
      <c r="AH45" s="8"/>
      <c r="AI45" s="8"/>
      <c r="AJ45" s="8"/>
      <c r="AK45" s="8"/>
      <c r="AL45" s="8"/>
      <c r="AM45" s="8"/>
      <c r="AN45" s="8"/>
      <c r="AO45" s="8"/>
      <c r="AP45" s="8"/>
      <c r="AQ45" s="8"/>
      <c r="AR45" s="8"/>
      <c r="AS45" s="8"/>
      <c r="AT45" s="8"/>
      <c r="AU45" s="8"/>
      <c r="AV45" s="8"/>
      <c r="AW45" s="8"/>
      <c r="AX45" s="8"/>
      <c r="AY45" s="8"/>
    </row>
    <row r="46" ht="17.45" customHeight="1">
      <c r="A46" t="s" s="250">
        <v>1330</v>
      </c>
      <c r="B46" s="251"/>
      <c r="C46" s="253">
        <v>5</v>
      </c>
      <c r="D46" t="s" s="250">
        <v>1258</v>
      </c>
      <c r="E46" t="s" s="250">
        <v>1333</v>
      </c>
      <c r="F46" t="s" s="250">
        <v>51</v>
      </c>
      <c r="G46" s="253">
        <v>1</v>
      </c>
      <c r="H46" s="251"/>
      <c r="I46" s="251"/>
      <c r="J46" s="251"/>
      <c r="K46" s="251"/>
      <c r="L46" s="251"/>
      <c r="M46" s="254"/>
      <c r="N46" s="254"/>
      <c r="O46" s="254"/>
      <c r="P46" s="255">
        <v>1</v>
      </c>
      <c r="Q46" s="253">
        <v>27</v>
      </c>
      <c r="R46" s="254"/>
      <c r="S46" s="254"/>
      <c r="T46" s="251"/>
      <c r="U46" s="251"/>
      <c r="V46" s="251"/>
      <c r="W46" s="251"/>
      <c r="X46" t="s" s="250">
        <v>159</v>
      </c>
      <c r="Y46" s="251"/>
      <c r="Z46" s="253">
        <v>1</v>
      </c>
      <c r="AA46" s="251"/>
      <c r="AB46" s="251"/>
      <c r="AC46" s="251"/>
      <c r="AD46" t="s" s="250">
        <v>240</v>
      </c>
      <c r="AE46" s="251"/>
      <c r="AF46" s="252"/>
      <c r="AG46" s="8"/>
      <c r="AH46" s="8"/>
      <c r="AI46" s="8"/>
      <c r="AJ46" s="8"/>
      <c r="AK46" s="8"/>
      <c r="AL46" s="8"/>
      <c r="AM46" s="8"/>
      <c r="AN46" s="8"/>
      <c r="AO46" s="8"/>
      <c r="AP46" s="8"/>
      <c r="AQ46" s="8"/>
      <c r="AR46" s="8"/>
      <c r="AS46" s="8"/>
      <c r="AT46" s="8"/>
      <c r="AU46" s="8"/>
      <c r="AV46" s="8"/>
      <c r="AW46" s="8"/>
      <c r="AX46" s="8"/>
      <c r="AY46" s="8"/>
    </row>
    <row r="47" ht="17.45" customHeight="1">
      <c r="A47" t="s" s="250">
        <v>1330</v>
      </c>
      <c r="B47" s="251"/>
      <c r="C47" s="253">
        <v>5</v>
      </c>
      <c r="D47" t="s" s="250">
        <v>1258</v>
      </c>
      <c r="E47" t="s" s="250">
        <v>1334</v>
      </c>
      <c r="F47" t="s" s="250">
        <v>267</v>
      </c>
      <c r="G47" s="253">
        <v>1</v>
      </c>
      <c r="H47" s="251"/>
      <c r="I47" s="251"/>
      <c r="J47" s="251"/>
      <c r="K47" s="251"/>
      <c r="L47" s="251"/>
      <c r="M47" s="254"/>
      <c r="N47" s="254"/>
      <c r="O47" s="254"/>
      <c r="P47" s="255">
        <v>1</v>
      </c>
      <c r="Q47" s="255">
        <v>32</v>
      </c>
      <c r="R47" s="254"/>
      <c r="S47" s="254"/>
      <c r="T47" s="254"/>
      <c r="U47" s="251"/>
      <c r="V47" s="251"/>
      <c r="W47" s="251"/>
      <c r="X47" t="s" s="250">
        <v>162</v>
      </c>
      <c r="Y47" s="251"/>
      <c r="Z47" s="253">
        <v>1</v>
      </c>
      <c r="AA47" s="251"/>
      <c r="AB47" s="251"/>
      <c r="AC47" s="251"/>
      <c r="AD47" t="s" s="250">
        <v>902</v>
      </c>
      <c r="AE47" s="251"/>
      <c r="AF47" s="252"/>
      <c r="AG47" s="8"/>
      <c r="AH47" s="8"/>
      <c r="AI47" s="8"/>
      <c r="AJ47" s="8"/>
      <c r="AK47" s="8"/>
      <c r="AL47" s="8"/>
      <c r="AM47" s="8"/>
      <c r="AN47" s="8"/>
      <c r="AO47" s="8"/>
      <c r="AP47" s="8"/>
      <c r="AQ47" s="8"/>
      <c r="AR47" s="8"/>
      <c r="AS47" s="8"/>
      <c r="AT47" s="8"/>
      <c r="AU47" s="8"/>
      <c r="AV47" s="8"/>
      <c r="AW47" s="8"/>
      <c r="AX47" s="8"/>
      <c r="AY47" s="8"/>
    </row>
    <row r="48" ht="17.45" customHeight="1">
      <c r="A48" t="s" s="250">
        <v>1335</v>
      </c>
      <c r="B48" t="s" s="250">
        <v>1336</v>
      </c>
      <c r="C48" s="253">
        <v>3</v>
      </c>
      <c r="D48" t="s" s="250">
        <v>1258</v>
      </c>
      <c r="E48" t="s" s="250">
        <v>210</v>
      </c>
      <c r="F48" t="s" s="250">
        <v>1337</v>
      </c>
      <c r="G48" s="251"/>
      <c r="H48" s="253">
        <v>1</v>
      </c>
      <c r="I48" s="251"/>
      <c r="J48" s="251"/>
      <c r="K48" s="253">
        <v>1</v>
      </c>
      <c r="L48" s="251"/>
      <c r="M48" s="251"/>
      <c r="N48" s="251"/>
      <c r="O48" s="251"/>
      <c r="P48" s="251"/>
      <c r="Q48" s="255">
        <v>50</v>
      </c>
      <c r="R48" s="253">
        <v>1</v>
      </c>
      <c r="S48" s="251"/>
      <c r="T48" s="251"/>
      <c r="U48" s="251"/>
      <c r="V48" s="251"/>
      <c r="W48" s="251"/>
      <c r="X48" t="s" s="250">
        <v>337</v>
      </c>
      <c r="Y48" s="251"/>
      <c r="Z48" s="253">
        <v>1</v>
      </c>
      <c r="AA48" s="253">
        <v>1</v>
      </c>
      <c r="AB48" s="251"/>
      <c r="AC48" s="253">
        <v>1</v>
      </c>
      <c r="AD48" s="251"/>
      <c r="AE48" s="251"/>
      <c r="AF48" s="252"/>
      <c r="AG48" s="8"/>
      <c r="AH48" s="8"/>
      <c r="AI48" s="8"/>
      <c r="AJ48" s="8"/>
      <c r="AK48" s="8"/>
      <c r="AL48" s="8"/>
      <c r="AM48" s="8"/>
      <c r="AN48" s="8"/>
      <c r="AO48" s="8"/>
      <c r="AP48" s="8"/>
      <c r="AQ48" s="8"/>
      <c r="AR48" s="8"/>
      <c r="AS48" s="8"/>
      <c r="AT48" s="8"/>
      <c r="AU48" s="8"/>
      <c r="AV48" s="8"/>
      <c r="AW48" s="8"/>
      <c r="AX48" s="8"/>
      <c r="AY48" s="8"/>
    </row>
    <row r="49" ht="17.45" customHeight="1">
      <c r="A49" t="s" s="250">
        <v>1335</v>
      </c>
      <c r="B49" t="s" s="250">
        <v>1336</v>
      </c>
      <c r="C49" s="253">
        <v>3</v>
      </c>
      <c r="D49" t="s" s="250">
        <v>1258</v>
      </c>
      <c r="E49" t="s" s="250">
        <v>210</v>
      </c>
      <c r="F49" t="s" s="250">
        <v>1338</v>
      </c>
      <c r="G49" s="253">
        <v>1</v>
      </c>
      <c r="H49" s="251"/>
      <c r="I49" s="251"/>
      <c r="J49" s="251"/>
      <c r="K49" s="251"/>
      <c r="L49" s="253">
        <v>1</v>
      </c>
      <c r="M49" s="251"/>
      <c r="N49" s="251"/>
      <c r="O49" s="251"/>
      <c r="P49" s="251"/>
      <c r="Q49" s="255">
        <v>48</v>
      </c>
      <c r="R49" s="253">
        <v>1</v>
      </c>
      <c r="S49" s="251"/>
      <c r="T49" s="251"/>
      <c r="U49" s="253">
        <v>25</v>
      </c>
      <c r="V49" s="253">
        <v>3</v>
      </c>
      <c r="W49" s="253">
        <v>3</v>
      </c>
      <c r="X49" t="s" s="250">
        <v>159</v>
      </c>
      <c r="Y49" s="251"/>
      <c r="Z49" s="253">
        <v>1</v>
      </c>
      <c r="AA49" s="251"/>
      <c r="AB49" s="251"/>
      <c r="AC49" s="251"/>
      <c r="AD49" t="s" s="250">
        <v>1339</v>
      </c>
      <c r="AE49" s="251"/>
      <c r="AF49" s="252"/>
      <c r="AG49" s="8"/>
      <c r="AH49" s="8"/>
      <c r="AI49" s="8"/>
      <c r="AJ49" s="8"/>
      <c r="AK49" s="8"/>
      <c r="AL49" s="8"/>
      <c r="AM49" s="8"/>
      <c r="AN49" s="8"/>
      <c r="AO49" s="8"/>
      <c r="AP49" s="8"/>
      <c r="AQ49" s="8"/>
      <c r="AR49" s="8"/>
      <c r="AS49" s="8"/>
      <c r="AT49" s="8"/>
      <c r="AU49" s="8"/>
      <c r="AV49" s="8"/>
      <c r="AW49" s="8"/>
      <c r="AX49" s="8"/>
      <c r="AY49" s="8"/>
    </row>
    <row r="50" ht="17.45" customHeight="1">
      <c r="A50" t="s" s="250">
        <v>1335</v>
      </c>
      <c r="B50" t="s" s="250">
        <v>1336</v>
      </c>
      <c r="C50" s="253">
        <v>3</v>
      </c>
      <c r="D50" t="s" s="250">
        <v>1258</v>
      </c>
      <c r="E50" t="s" s="250">
        <v>1340</v>
      </c>
      <c r="F50" t="s" s="250">
        <v>1036</v>
      </c>
      <c r="G50" s="253">
        <v>1</v>
      </c>
      <c r="H50" s="251"/>
      <c r="I50" s="251"/>
      <c r="J50" s="251"/>
      <c r="K50" s="251"/>
      <c r="L50" s="251"/>
      <c r="M50" s="251"/>
      <c r="N50" s="251"/>
      <c r="O50" s="251"/>
      <c r="P50" s="255">
        <v>1</v>
      </c>
      <c r="Q50" s="255">
        <v>38</v>
      </c>
      <c r="R50" s="251"/>
      <c r="S50" s="253">
        <v>1</v>
      </c>
      <c r="T50" s="251"/>
      <c r="U50" s="251"/>
      <c r="V50" s="251"/>
      <c r="W50" s="251"/>
      <c r="X50" t="s" s="250">
        <v>194</v>
      </c>
      <c r="Y50" s="251"/>
      <c r="Z50" s="253">
        <v>1</v>
      </c>
      <c r="AA50" s="251"/>
      <c r="AB50" s="251"/>
      <c r="AC50" s="253">
        <v>1</v>
      </c>
      <c r="AD50" s="251"/>
      <c r="AE50" s="251"/>
      <c r="AF50" s="252"/>
      <c r="AG50" s="8"/>
      <c r="AH50" s="8"/>
      <c r="AI50" s="8"/>
      <c r="AJ50" s="8"/>
      <c r="AK50" s="8"/>
      <c r="AL50" s="8"/>
      <c r="AM50" s="8"/>
      <c r="AN50" s="8"/>
      <c r="AO50" s="8"/>
      <c r="AP50" s="8"/>
      <c r="AQ50" s="8"/>
      <c r="AR50" s="8"/>
      <c r="AS50" s="8"/>
      <c r="AT50" s="8"/>
      <c r="AU50" s="8"/>
      <c r="AV50" s="8"/>
      <c r="AW50" s="8"/>
      <c r="AX50" s="8"/>
      <c r="AY50" s="8"/>
    </row>
    <row r="51" ht="17.45" customHeight="1">
      <c r="A51" t="s" s="250">
        <v>1335</v>
      </c>
      <c r="B51" t="s" s="250">
        <v>1336</v>
      </c>
      <c r="C51" s="253">
        <v>3</v>
      </c>
      <c r="D51" t="s" s="250">
        <v>1258</v>
      </c>
      <c r="E51" t="s" s="250">
        <v>1341</v>
      </c>
      <c r="F51" t="s" s="250">
        <v>1342</v>
      </c>
      <c r="G51" s="253">
        <v>1</v>
      </c>
      <c r="H51" s="251"/>
      <c r="I51" s="251"/>
      <c r="J51" s="251"/>
      <c r="K51" s="251"/>
      <c r="L51" s="251"/>
      <c r="M51" s="251"/>
      <c r="N51" s="251"/>
      <c r="O51" s="251"/>
      <c r="P51" s="255">
        <v>1</v>
      </c>
      <c r="Q51" s="255">
        <v>25</v>
      </c>
      <c r="R51" s="251"/>
      <c r="S51" s="253">
        <v>1</v>
      </c>
      <c r="T51" s="251"/>
      <c r="U51" s="251"/>
      <c r="V51" s="251"/>
      <c r="W51" s="251"/>
      <c r="X51" s="251"/>
      <c r="Y51" s="251"/>
      <c r="Z51" s="251"/>
      <c r="AA51" s="251"/>
      <c r="AB51" s="251"/>
      <c r="AC51" s="251"/>
      <c r="AD51" t="s" s="250">
        <v>144</v>
      </c>
      <c r="AE51" s="251"/>
      <c r="AF51" s="252"/>
      <c r="AG51" s="8"/>
      <c r="AH51" s="8"/>
      <c r="AI51" s="8"/>
      <c r="AJ51" s="8"/>
      <c r="AK51" s="8"/>
      <c r="AL51" s="8"/>
      <c r="AM51" s="8"/>
      <c r="AN51" s="8"/>
      <c r="AO51" s="8"/>
      <c r="AP51" s="8"/>
      <c r="AQ51" s="8"/>
      <c r="AR51" s="8"/>
      <c r="AS51" s="8"/>
      <c r="AT51" s="8"/>
      <c r="AU51" s="8"/>
      <c r="AV51" s="8"/>
      <c r="AW51" s="8"/>
      <c r="AX51" s="8"/>
      <c r="AY51" s="8"/>
    </row>
    <row r="52" ht="17.45" customHeight="1">
      <c r="A52" t="s" s="250">
        <v>1343</v>
      </c>
      <c r="B52" t="s" s="250">
        <v>1344</v>
      </c>
      <c r="C52" s="253">
        <v>1</v>
      </c>
      <c r="D52" t="s" s="250">
        <v>1258</v>
      </c>
      <c r="E52" t="s" s="250">
        <v>1345</v>
      </c>
      <c r="F52" t="s" s="250">
        <v>51</v>
      </c>
      <c r="G52" s="253">
        <v>1</v>
      </c>
      <c r="H52" s="251"/>
      <c r="I52" s="251"/>
      <c r="J52" s="251"/>
      <c r="K52" s="251"/>
      <c r="L52" s="251"/>
      <c r="M52" s="251"/>
      <c r="N52" s="251"/>
      <c r="O52" t="s" s="250">
        <v>900</v>
      </c>
      <c r="P52" s="251"/>
      <c r="Q52" s="255">
        <v>48</v>
      </c>
      <c r="R52" s="251"/>
      <c r="S52" s="251"/>
      <c r="T52" s="251"/>
      <c r="U52" s="251"/>
      <c r="V52" s="251"/>
      <c r="W52" s="251"/>
      <c r="X52" t="s" s="250">
        <v>830</v>
      </c>
      <c r="Y52" s="251"/>
      <c r="Z52" s="253">
        <v>1</v>
      </c>
      <c r="AA52" s="251"/>
      <c r="AB52" s="251"/>
      <c r="AC52" s="251"/>
      <c r="AD52" t="s" s="250">
        <v>1346</v>
      </c>
      <c r="AE52" t="s" s="250">
        <v>1347</v>
      </c>
      <c r="AF52" s="252"/>
      <c r="AG52" s="8"/>
      <c r="AH52" s="8"/>
      <c r="AI52" s="8"/>
      <c r="AJ52" s="8"/>
      <c r="AK52" s="8"/>
      <c r="AL52" s="8"/>
      <c r="AM52" s="8"/>
      <c r="AN52" s="8"/>
      <c r="AO52" s="8"/>
      <c r="AP52" s="8"/>
      <c r="AQ52" s="8"/>
      <c r="AR52" s="8"/>
      <c r="AS52" s="8"/>
      <c r="AT52" s="8"/>
      <c r="AU52" s="8"/>
      <c r="AV52" s="8"/>
      <c r="AW52" s="8"/>
      <c r="AX52" s="8"/>
      <c r="AY52" s="8"/>
    </row>
    <row r="53" ht="17.45" customHeight="1">
      <c r="A53" t="s" s="250">
        <v>1343</v>
      </c>
      <c r="B53" t="s" s="250">
        <v>1344</v>
      </c>
      <c r="C53" s="253">
        <v>1</v>
      </c>
      <c r="D53" t="s" s="250">
        <v>1258</v>
      </c>
      <c r="E53" t="s" s="250">
        <v>1348</v>
      </c>
      <c r="F53" t="s" s="250">
        <v>1191</v>
      </c>
      <c r="G53" s="251"/>
      <c r="H53" s="253">
        <v>1</v>
      </c>
      <c r="I53" s="251"/>
      <c r="J53" s="251"/>
      <c r="K53" s="253">
        <v>1</v>
      </c>
      <c r="L53" s="251"/>
      <c r="M53" s="251"/>
      <c r="N53" s="251"/>
      <c r="O53" s="251"/>
      <c r="P53" s="251"/>
      <c r="Q53" s="255">
        <v>35</v>
      </c>
      <c r="R53" s="253">
        <v>1</v>
      </c>
      <c r="S53" s="251"/>
      <c r="T53" s="251"/>
      <c r="U53" s="251"/>
      <c r="V53" s="251"/>
      <c r="W53" s="251"/>
      <c r="X53" t="s" s="250">
        <v>1349</v>
      </c>
      <c r="Y53" t="s" s="250">
        <v>1350</v>
      </c>
      <c r="Z53" s="253">
        <v>1</v>
      </c>
      <c r="AA53" s="251"/>
      <c r="AB53" s="251"/>
      <c r="AC53" s="251"/>
      <c r="AD53" t="s" s="250">
        <v>435</v>
      </c>
      <c r="AE53" s="251"/>
      <c r="AF53" s="252"/>
      <c r="AG53" s="8"/>
      <c r="AH53" s="8"/>
      <c r="AI53" s="8"/>
      <c r="AJ53" s="8"/>
      <c r="AK53" s="8"/>
      <c r="AL53" s="8"/>
      <c r="AM53" s="8"/>
      <c r="AN53" s="8"/>
      <c r="AO53" s="8"/>
      <c r="AP53" s="8"/>
      <c r="AQ53" s="8"/>
      <c r="AR53" s="8"/>
      <c r="AS53" s="8"/>
      <c r="AT53" s="8"/>
      <c r="AU53" s="8"/>
      <c r="AV53" s="8"/>
      <c r="AW53" s="8"/>
      <c r="AX53" s="8"/>
      <c r="AY53" s="8"/>
    </row>
    <row r="54" ht="17.45" customHeight="1">
      <c r="A54" t="s" s="250">
        <v>1343</v>
      </c>
      <c r="B54" t="s" s="250">
        <v>1344</v>
      </c>
      <c r="C54" s="253">
        <v>1</v>
      </c>
      <c r="D54" t="s" s="250">
        <v>1258</v>
      </c>
      <c r="E54" t="s" s="250">
        <v>1348</v>
      </c>
      <c r="F54" t="s" s="250">
        <v>51</v>
      </c>
      <c r="G54" s="253">
        <v>1</v>
      </c>
      <c r="H54" s="251"/>
      <c r="I54" s="251"/>
      <c r="J54" s="251"/>
      <c r="K54" s="251"/>
      <c r="L54" s="253">
        <v>1</v>
      </c>
      <c r="M54" s="251"/>
      <c r="N54" s="251"/>
      <c r="O54" s="251"/>
      <c r="P54" s="251"/>
      <c r="Q54" s="255">
        <v>35</v>
      </c>
      <c r="R54" s="253">
        <v>1</v>
      </c>
      <c r="S54" s="251"/>
      <c r="T54" s="251"/>
      <c r="U54" s="253">
        <v>9</v>
      </c>
      <c r="V54" s="253">
        <v>1</v>
      </c>
      <c r="W54" s="253">
        <v>1</v>
      </c>
      <c r="X54" t="s" s="250">
        <v>1351</v>
      </c>
      <c r="Y54" s="251"/>
      <c r="Z54" s="253">
        <v>1</v>
      </c>
      <c r="AA54" s="251"/>
      <c r="AB54" s="251"/>
      <c r="AC54" s="253">
        <v>1</v>
      </c>
      <c r="AD54" s="251"/>
      <c r="AE54" s="251"/>
      <c r="AF54" s="252"/>
      <c r="AG54" s="8"/>
      <c r="AH54" s="8"/>
      <c r="AI54" s="8"/>
      <c r="AJ54" s="8"/>
      <c r="AK54" s="8"/>
      <c r="AL54" s="8"/>
      <c r="AM54" s="8"/>
      <c r="AN54" s="8"/>
      <c r="AO54" s="8"/>
      <c r="AP54" s="8"/>
      <c r="AQ54" s="8"/>
      <c r="AR54" s="8"/>
      <c r="AS54" s="8"/>
      <c r="AT54" s="8"/>
      <c r="AU54" s="8"/>
      <c r="AV54" s="8"/>
      <c r="AW54" s="8"/>
      <c r="AX54" s="8"/>
      <c r="AY54" s="8"/>
    </row>
    <row r="55" ht="17.45" customHeight="1">
      <c r="A55" t="s" s="250">
        <v>1343</v>
      </c>
      <c r="B55" t="s" s="250">
        <v>1344</v>
      </c>
      <c r="C55" s="253">
        <v>1</v>
      </c>
      <c r="D55" t="s" s="250">
        <v>1258</v>
      </c>
      <c r="E55" t="s" s="250">
        <v>1348</v>
      </c>
      <c r="F55" t="s" s="250">
        <v>1032</v>
      </c>
      <c r="G55" s="251"/>
      <c r="H55" s="251"/>
      <c r="I55" s="253">
        <v>1</v>
      </c>
      <c r="J55" s="251"/>
      <c r="K55" s="251"/>
      <c r="L55" s="251"/>
      <c r="M55" s="253">
        <v>1</v>
      </c>
      <c r="N55" s="251"/>
      <c r="O55" s="251"/>
      <c r="P55" s="251"/>
      <c r="Q55" s="255">
        <v>5</v>
      </c>
      <c r="R55" s="251"/>
      <c r="S55" s="251"/>
      <c r="T55" s="251"/>
      <c r="U55" s="251"/>
      <c r="V55" s="251"/>
      <c r="W55" s="251"/>
      <c r="X55" s="251"/>
      <c r="Y55" s="251"/>
      <c r="Z55" s="251"/>
      <c r="AA55" s="251"/>
      <c r="AB55" s="251"/>
      <c r="AC55" s="253">
        <v>1</v>
      </c>
      <c r="AD55" s="251"/>
      <c r="AE55" s="251"/>
      <c r="AF55" s="252"/>
      <c r="AG55" s="8"/>
      <c r="AH55" s="8"/>
      <c r="AI55" s="8"/>
      <c r="AJ55" s="8"/>
      <c r="AK55" s="8"/>
      <c r="AL55" s="8"/>
      <c r="AM55" s="8"/>
      <c r="AN55" s="8"/>
      <c r="AO55" s="8"/>
      <c r="AP55" s="8"/>
      <c r="AQ55" s="8"/>
      <c r="AR55" s="8"/>
      <c r="AS55" s="8"/>
      <c r="AT55" s="8"/>
      <c r="AU55" s="8"/>
      <c r="AV55" s="8"/>
      <c r="AW55" s="8"/>
      <c r="AX55" s="8"/>
      <c r="AY55" s="8"/>
    </row>
    <row r="56" ht="17.45" customHeight="1">
      <c r="A56" t="s" s="250">
        <v>1343</v>
      </c>
      <c r="B56" t="s" s="250">
        <v>1344</v>
      </c>
      <c r="C56" s="253">
        <v>1</v>
      </c>
      <c r="D56" t="s" s="250">
        <v>1258</v>
      </c>
      <c r="E56" t="s" s="250">
        <v>1352</v>
      </c>
      <c r="F56" t="s" s="250">
        <v>1353</v>
      </c>
      <c r="G56" s="253">
        <v>1</v>
      </c>
      <c r="H56" s="251"/>
      <c r="I56" s="251"/>
      <c r="J56" s="251"/>
      <c r="K56" s="251"/>
      <c r="L56" s="251"/>
      <c r="M56" s="251"/>
      <c r="N56" s="251"/>
      <c r="O56" s="251"/>
      <c r="P56" s="253">
        <v>1</v>
      </c>
      <c r="Q56" s="255">
        <v>25</v>
      </c>
      <c r="R56" s="251"/>
      <c r="S56" s="251"/>
      <c r="T56" s="251"/>
      <c r="U56" s="251"/>
      <c r="V56" s="251"/>
      <c r="W56" s="251"/>
      <c r="X56" t="s" s="250">
        <v>33</v>
      </c>
      <c r="Y56" s="251"/>
      <c r="Z56" s="253">
        <v>1</v>
      </c>
      <c r="AA56" s="251"/>
      <c r="AB56" s="251"/>
      <c r="AC56" s="253">
        <v>1</v>
      </c>
      <c r="AD56" s="251"/>
      <c r="AE56" s="251"/>
      <c r="AF56" s="252"/>
      <c r="AG56" s="8"/>
      <c r="AH56" s="8"/>
      <c r="AI56" s="8"/>
      <c r="AJ56" s="8"/>
      <c r="AK56" s="8"/>
      <c r="AL56" s="8"/>
      <c r="AM56" s="8"/>
      <c r="AN56" s="8"/>
      <c r="AO56" s="8"/>
      <c r="AP56" s="8"/>
      <c r="AQ56" s="8"/>
      <c r="AR56" s="8"/>
      <c r="AS56" s="8"/>
      <c r="AT56" s="8"/>
      <c r="AU56" s="8"/>
      <c r="AV56" s="8"/>
      <c r="AW56" s="8"/>
      <c r="AX56" s="8"/>
      <c r="AY56" s="8"/>
    </row>
    <row r="57" ht="17.45" customHeight="1">
      <c r="A57" t="s" s="250">
        <v>1343</v>
      </c>
      <c r="B57" t="s" s="250">
        <v>1344</v>
      </c>
      <c r="C57" s="253">
        <v>1</v>
      </c>
      <c r="D57" t="s" s="250">
        <v>1258</v>
      </c>
      <c r="E57" t="s" s="250">
        <v>1354</v>
      </c>
      <c r="F57" t="s" s="250">
        <v>1355</v>
      </c>
      <c r="G57" s="253">
        <v>1</v>
      </c>
      <c r="H57" s="251"/>
      <c r="I57" s="251"/>
      <c r="J57" s="251"/>
      <c r="K57" s="251"/>
      <c r="L57" s="251"/>
      <c r="M57" s="251"/>
      <c r="N57" s="251"/>
      <c r="O57" s="251"/>
      <c r="P57" s="253">
        <v>1</v>
      </c>
      <c r="Q57" s="255">
        <v>27</v>
      </c>
      <c r="R57" s="251"/>
      <c r="S57" s="251"/>
      <c r="T57" s="251"/>
      <c r="U57" s="251"/>
      <c r="V57" s="251"/>
      <c r="W57" s="251"/>
      <c r="X57" t="s" s="250">
        <v>33</v>
      </c>
      <c r="Y57" s="251"/>
      <c r="Z57" s="253">
        <v>1</v>
      </c>
      <c r="AA57" s="251"/>
      <c r="AB57" s="251"/>
      <c r="AC57" s="251"/>
      <c r="AD57" t="s" s="250">
        <v>1099</v>
      </c>
      <c r="AE57" s="251"/>
      <c r="AF57" s="252"/>
      <c r="AG57" s="8"/>
      <c r="AH57" s="8"/>
      <c r="AI57" s="8"/>
      <c r="AJ57" s="8"/>
      <c r="AK57" s="8"/>
      <c r="AL57" s="8"/>
      <c r="AM57" s="8"/>
      <c r="AN57" s="8"/>
      <c r="AO57" s="8"/>
      <c r="AP57" s="8"/>
      <c r="AQ57" s="8"/>
      <c r="AR57" s="8"/>
      <c r="AS57" s="8"/>
      <c r="AT57" s="8"/>
      <c r="AU57" s="8"/>
      <c r="AV57" s="8"/>
      <c r="AW57" s="8"/>
      <c r="AX57" s="8"/>
      <c r="AY57" s="8"/>
    </row>
    <row r="58" ht="17" customHeight="1">
      <c r="A58" t="s" s="250">
        <v>285</v>
      </c>
      <c r="B58" s="253">
        <v>11</v>
      </c>
      <c r="C58" s="251"/>
      <c r="D58" s="251"/>
      <c r="E58" s="253">
        <v>36</v>
      </c>
      <c r="F58" s="253">
        <v>55</v>
      </c>
      <c r="G58" s="253">
        <f>SUM(G3:G57)</f>
        <v>44</v>
      </c>
      <c r="H58" s="253">
        <f>SUM(H3:H57)</f>
        <v>9</v>
      </c>
      <c r="I58" s="253">
        <f>SUM(I3:I57)</f>
        <v>2</v>
      </c>
      <c r="J58" s="253">
        <f>SUM(J3:J57)</f>
        <v>0</v>
      </c>
      <c r="K58" s="253">
        <f>SUM(K3:K57)</f>
        <v>9</v>
      </c>
      <c r="L58" s="253">
        <f>SUM(L3:L57)</f>
        <v>4</v>
      </c>
      <c r="M58" s="253">
        <f>SUM(M3:M57)</f>
        <v>5</v>
      </c>
      <c r="N58" s="253">
        <f>SUM(N3:N57)</f>
        <v>3</v>
      </c>
      <c r="O58" s="253">
        <v>11</v>
      </c>
      <c r="P58" s="253">
        <f>SUM(P3:P57)</f>
        <v>23</v>
      </c>
      <c r="Q58" s="253">
        <f>SUM(Q3:Q57)</f>
        <v>2047</v>
      </c>
      <c r="R58" s="253">
        <f>SUM(R3:R57)</f>
        <v>8</v>
      </c>
      <c r="S58" s="253">
        <f>SUM(S3:S57)</f>
        <v>38</v>
      </c>
      <c r="T58" s="253">
        <f>SUM(T3:T57)</f>
        <v>1</v>
      </c>
      <c r="U58" s="253">
        <f>SUM(U3:U57)</f>
        <v>77</v>
      </c>
      <c r="V58" s="253">
        <f>SUM(V3:V57)</f>
        <v>21</v>
      </c>
      <c r="W58" s="253">
        <f>SUM(W3:W57)</f>
        <v>19</v>
      </c>
      <c r="X58" s="253">
        <f>SUM(X3:X57)</f>
        <v>0</v>
      </c>
      <c r="Y58" s="253">
        <f>SUM(Y3:Y57)</f>
        <v>0</v>
      </c>
      <c r="Z58" s="253">
        <f>SUM(Z3:Z57)</f>
        <v>37</v>
      </c>
      <c r="AA58" s="253">
        <f>SUM(AA3:AA57)</f>
        <v>5</v>
      </c>
      <c r="AB58" s="253">
        <f>SUM(AB3:AB57)</f>
        <v>4</v>
      </c>
      <c r="AC58" s="253">
        <f>SUM(AC3:AC57)</f>
        <v>28</v>
      </c>
      <c r="AD58" s="253">
        <f>F58-AC58</f>
        <v>27</v>
      </c>
      <c r="AE58" s="251"/>
      <c r="AF58" s="252"/>
      <c r="AG58" s="8"/>
      <c r="AH58" s="8"/>
      <c r="AI58" s="8"/>
      <c r="AJ58" s="8"/>
      <c r="AK58" s="8"/>
      <c r="AL58" s="8"/>
      <c r="AM58" s="8"/>
      <c r="AN58" s="8"/>
      <c r="AO58" s="8"/>
      <c r="AP58" s="8"/>
      <c r="AQ58" s="8"/>
      <c r="AR58" s="8"/>
      <c r="AS58" s="8"/>
      <c r="AT58" s="8"/>
      <c r="AU58" s="8"/>
      <c r="AV58" s="8"/>
      <c r="AW58" s="8"/>
      <c r="AX58" s="8"/>
      <c r="AY58" s="8"/>
    </row>
    <row r="59" ht="17" customHeight="1">
      <c r="A59" s="251"/>
      <c r="B59" s="251"/>
      <c r="C59" s="251"/>
      <c r="D59" s="251"/>
      <c r="E59" s="251"/>
      <c r="F59" s="251"/>
      <c r="G59" s="251"/>
      <c r="H59" s="251"/>
      <c r="I59" s="251"/>
      <c r="J59" s="251"/>
      <c r="K59" s="251"/>
      <c r="L59" s="251"/>
      <c r="M59" s="251"/>
      <c r="N59" s="251"/>
      <c r="O59" s="251"/>
      <c r="P59" s="251"/>
      <c r="Q59" s="268">
        <f>Q58/F58</f>
        <v>37.2181818181818</v>
      </c>
      <c r="R59" s="251"/>
      <c r="S59" s="251"/>
      <c r="T59" s="251"/>
      <c r="U59" s="251"/>
      <c r="V59" s="251"/>
      <c r="W59" s="251"/>
      <c r="X59" s="251"/>
      <c r="Y59" s="251"/>
      <c r="Z59" s="251"/>
      <c r="AA59" s="251"/>
      <c r="AB59" s="251"/>
      <c r="AC59" s="251"/>
      <c r="AD59" s="251"/>
      <c r="AE59" s="251"/>
      <c r="AF59" s="252"/>
      <c r="AG59" s="8"/>
      <c r="AH59" s="8"/>
      <c r="AI59" s="8"/>
      <c r="AJ59" s="8"/>
      <c r="AK59" s="8"/>
      <c r="AL59" s="8"/>
      <c r="AM59" s="8"/>
      <c r="AN59" s="8"/>
      <c r="AO59" s="8"/>
      <c r="AP59" s="8"/>
      <c r="AQ59" s="8"/>
      <c r="AR59" s="8"/>
      <c r="AS59" s="8"/>
      <c r="AT59" s="8"/>
      <c r="AU59" s="8"/>
      <c r="AV59" s="8"/>
      <c r="AW59" s="8"/>
      <c r="AX59" s="8"/>
      <c r="AY59"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AY47"/>
  <sheetViews>
    <sheetView workbookViewId="0" showGridLines="0" defaultGridColor="1"/>
  </sheetViews>
  <sheetFormatPr defaultColWidth="10.8333" defaultRowHeight="16" customHeight="1" outlineLevelRow="0" outlineLevelCol="0"/>
  <cols>
    <col min="1" max="3" width="10.8516" style="272" customWidth="1"/>
    <col min="4" max="4" width="17.8516" style="272" customWidth="1"/>
    <col min="5" max="5" width="20.1719" style="272" customWidth="1"/>
    <col min="6" max="6" width="22.8516" style="272" customWidth="1"/>
    <col min="7" max="10" width="10.8516" style="272" customWidth="1"/>
    <col min="11" max="11" width="19.1719" style="272" customWidth="1"/>
    <col min="12" max="12" width="7.85156" style="272" customWidth="1"/>
    <col min="13" max="13" width="10" style="272" customWidth="1"/>
    <col min="14" max="14" width="8.67188" style="272" customWidth="1"/>
    <col min="15" max="15" width="18.5" style="272" customWidth="1"/>
    <col min="16" max="16" width="11.5" style="272" customWidth="1"/>
    <col min="17" max="17" width="11.6719" style="272" customWidth="1"/>
    <col min="18" max="18" width="12.3516" style="272" customWidth="1"/>
    <col min="19" max="19" width="10.8516" style="272" customWidth="1"/>
    <col min="20" max="20" width="15.1719" style="272" customWidth="1"/>
    <col min="21" max="23" width="10.8516" style="272" customWidth="1"/>
    <col min="24" max="24" width="31" style="272" customWidth="1"/>
    <col min="25" max="25" width="19.8516" style="272" customWidth="1"/>
    <col min="26" max="26" width="12.1719" style="272" customWidth="1"/>
    <col min="27" max="30" width="16.5" style="272" customWidth="1"/>
    <col min="31" max="31" width="14.6719" style="272" customWidth="1"/>
    <col min="32" max="32" width="10.8516" style="272" customWidth="1"/>
    <col min="33" max="33" width="11" style="272" customWidth="1"/>
    <col min="34" max="34" width="11.1719" style="272" customWidth="1"/>
    <col min="35" max="35" width="7.85156" style="272" customWidth="1"/>
    <col min="36" max="37" width="10.8516" style="272" customWidth="1"/>
    <col min="38" max="38" width="7.35156" style="272" customWidth="1"/>
    <col min="39" max="39" width="10.8516" style="272" customWidth="1"/>
    <col min="40" max="40" width="9.17188" style="272" customWidth="1"/>
    <col min="41" max="41" width="10.8516" style="272" customWidth="1"/>
    <col min="42" max="42" width="12.5" style="272" customWidth="1"/>
    <col min="43" max="43" width="13" style="272" customWidth="1"/>
    <col min="44" max="51" width="10.8516" style="272" customWidth="1"/>
    <col min="52" max="16384" width="10.8516" style="272" customWidth="1"/>
  </cols>
  <sheetData>
    <row r="1" ht="47" customHeight="1">
      <c r="A1" t="s" s="12">
        <v>6</v>
      </c>
      <c r="B1" t="s" s="12">
        <v>7</v>
      </c>
      <c r="C1" t="s" s="13">
        <v>8</v>
      </c>
      <c r="D1" t="s" s="14">
        <v>9</v>
      </c>
      <c r="E1" t="s" s="13">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13">
        <v>109</v>
      </c>
      <c r="AF1" s="15"/>
      <c r="AG1" s="36"/>
      <c r="AH1" s="36"/>
      <c r="AI1" s="15"/>
      <c r="AJ1" s="15"/>
      <c r="AK1" s="17"/>
      <c r="AL1" s="15"/>
      <c r="AM1" s="15"/>
      <c r="AN1" s="15"/>
      <c r="AO1" s="17"/>
      <c r="AP1" s="36"/>
      <c r="AQ1" s="36"/>
      <c r="AR1" s="36"/>
      <c r="AS1" s="36"/>
      <c r="AT1" s="36"/>
      <c r="AU1" s="36"/>
      <c r="AV1" s="36"/>
      <c r="AW1" s="15"/>
      <c r="AX1" s="17"/>
      <c r="AY1" s="17"/>
    </row>
    <row r="2" ht="47" customHeight="1">
      <c r="A2" t="s" s="240">
        <v>119</v>
      </c>
      <c r="B2" t="s" s="241">
        <v>120</v>
      </c>
      <c r="C2" s="273"/>
      <c r="D2" s="90"/>
      <c r="E2" s="234"/>
      <c r="F2" s="90"/>
      <c r="G2" t="s" s="91">
        <v>24</v>
      </c>
      <c r="H2" t="s" s="91">
        <v>25</v>
      </c>
      <c r="I2" t="s" s="91">
        <v>26</v>
      </c>
      <c r="J2" t="s" s="244">
        <v>27</v>
      </c>
      <c r="K2" t="s" s="245">
        <v>28</v>
      </c>
      <c r="L2" t="s" s="246">
        <v>29</v>
      </c>
      <c r="M2" t="s" s="91">
        <v>30</v>
      </c>
      <c r="N2" t="s" s="91">
        <v>31</v>
      </c>
      <c r="O2" t="s" s="91">
        <v>32</v>
      </c>
      <c r="P2" t="s" s="244">
        <v>33</v>
      </c>
      <c r="Q2" t="s" s="247">
        <v>121</v>
      </c>
      <c r="R2" t="s" s="245">
        <v>122</v>
      </c>
      <c r="S2" t="s" s="245">
        <v>123</v>
      </c>
      <c r="T2" t="s" s="274">
        <v>124</v>
      </c>
      <c r="U2" s="90"/>
      <c r="V2" s="90"/>
      <c r="W2" s="90"/>
      <c r="X2" s="90"/>
      <c r="Y2" s="90"/>
      <c r="Z2" s="90"/>
      <c r="AA2" t="s" s="91">
        <v>35</v>
      </c>
      <c r="AB2" t="s" s="91">
        <v>125</v>
      </c>
      <c r="AC2" t="s" s="91">
        <v>37</v>
      </c>
      <c r="AD2" t="s" s="275">
        <v>32</v>
      </c>
      <c r="AE2" s="17"/>
      <c r="AF2" s="8"/>
      <c r="AG2" s="17"/>
      <c r="AH2" s="17"/>
      <c r="AI2" s="17"/>
      <c r="AJ2" s="17"/>
      <c r="AK2" s="17"/>
      <c r="AL2" s="17"/>
      <c r="AM2" s="17"/>
      <c r="AN2" s="17"/>
      <c r="AO2" s="17"/>
      <c r="AP2" s="17"/>
      <c r="AQ2" s="17"/>
      <c r="AR2" s="17"/>
      <c r="AS2" s="17"/>
      <c r="AT2" s="17"/>
      <c r="AU2" s="17"/>
      <c r="AV2" s="17"/>
      <c r="AW2" s="17"/>
      <c r="AX2" s="17"/>
      <c r="AY2" s="17"/>
    </row>
    <row r="3" ht="19" customHeight="1">
      <c r="A3" t="s" s="167">
        <v>1357</v>
      </c>
      <c r="B3" s="105"/>
      <c r="C3" s="108">
        <v>1</v>
      </c>
      <c r="D3" t="s" s="167">
        <v>1358</v>
      </c>
      <c r="E3" t="s" s="167">
        <v>1359</v>
      </c>
      <c r="F3" t="s" s="176">
        <v>1360</v>
      </c>
      <c r="G3" s="97">
        <v>1</v>
      </c>
      <c r="H3" s="98"/>
      <c r="I3" s="98"/>
      <c r="J3" s="98"/>
      <c r="K3" s="97">
        <v>1</v>
      </c>
      <c r="L3" s="98"/>
      <c r="M3" s="98"/>
      <c r="N3" s="98"/>
      <c r="O3" s="98"/>
      <c r="P3" s="98"/>
      <c r="Q3" s="97">
        <v>54</v>
      </c>
      <c r="R3" s="97">
        <v>1</v>
      </c>
      <c r="S3" s="98"/>
      <c r="T3" s="98"/>
      <c r="U3" s="98"/>
      <c r="V3" s="98"/>
      <c r="W3" s="98"/>
      <c r="X3" t="s" s="176">
        <v>1361</v>
      </c>
      <c r="Y3" s="98"/>
      <c r="Z3" s="97">
        <v>1</v>
      </c>
      <c r="AA3" s="97">
        <v>1</v>
      </c>
      <c r="AB3" s="98"/>
      <c r="AC3" s="98"/>
      <c r="AD3" t="s" s="176">
        <v>144</v>
      </c>
      <c r="AE3" s="115"/>
      <c r="AF3" s="8"/>
      <c r="AG3" s="17"/>
      <c r="AH3" s="17"/>
      <c r="AI3" s="17"/>
      <c r="AJ3" s="17"/>
      <c r="AK3" s="17"/>
      <c r="AL3" s="17"/>
      <c r="AM3" s="17"/>
      <c r="AN3" s="17"/>
      <c r="AO3" s="17"/>
      <c r="AP3" s="17"/>
      <c r="AQ3" s="17"/>
      <c r="AR3" s="17"/>
      <c r="AS3" s="17"/>
      <c r="AT3" s="17"/>
      <c r="AU3" s="17"/>
      <c r="AV3" s="17"/>
      <c r="AW3" s="17"/>
      <c r="AX3" s="17"/>
      <c r="AY3" s="17"/>
    </row>
    <row r="4" ht="17.45" customHeight="1">
      <c r="A4" t="s" s="167">
        <v>1357</v>
      </c>
      <c r="B4" s="105"/>
      <c r="C4" s="108">
        <v>1</v>
      </c>
      <c r="D4" t="s" s="167">
        <v>1358</v>
      </c>
      <c r="E4" t="s" s="167">
        <v>1359</v>
      </c>
      <c r="F4" t="s" s="167">
        <v>1362</v>
      </c>
      <c r="G4" s="255">
        <v>1</v>
      </c>
      <c r="H4" s="105"/>
      <c r="I4" s="105"/>
      <c r="J4" s="105"/>
      <c r="K4" s="105"/>
      <c r="L4" s="108">
        <v>1</v>
      </c>
      <c r="M4" s="254"/>
      <c r="N4" s="254"/>
      <c r="O4" s="254"/>
      <c r="P4" s="254"/>
      <c r="Q4" s="108">
        <v>22</v>
      </c>
      <c r="R4" s="255">
        <v>1</v>
      </c>
      <c r="S4" s="254"/>
      <c r="T4" s="105"/>
      <c r="U4" t="s" s="167">
        <v>1363</v>
      </c>
      <c r="V4" s="105"/>
      <c r="W4" s="105"/>
      <c r="X4" s="105"/>
      <c r="Y4" s="105"/>
      <c r="Z4" s="105"/>
      <c r="AA4" s="105"/>
      <c r="AB4" s="105"/>
      <c r="AC4" s="105"/>
      <c r="AD4" t="s" s="167">
        <v>146</v>
      </c>
      <c r="AE4" s="115"/>
      <c r="AF4" s="8"/>
      <c r="AG4" s="17"/>
      <c r="AH4" s="17"/>
      <c r="AI4" s="17"/>
      <c r="AJ4" s="17"/>
      <c r="AK4" s="17"/>
      <c r="AL4" s="17"/>
      <c r="AM4" s="17"/>
      <c r="AN4" s="17"/>
      <c r="AO4" s="17"/>
      <c r="AP4" s="17"/>
      <c r="AQ4" s="17"/>
      <c r="AR4" s="17"/>
      <c r="AS4" s="17"/>
      <c r="AT4" s="17"/>
      <c r="AU4" s="17"/>
      <c r="AV4" s="17"/>
      <c r="AW4" s="17"/>
      <c r="AX4" s="17"/>
      <c r="AY4" s="17"/>
    </row>
    <row r="5" ht="17" customHeight="1">
      <c r="A5" t="s" s="167">
        <v>1357</v>
      </c>
      <c r="B5" s="105"/>
      <c r="C5" s="108">
        <v>1</v>
      </c>
      <c r="D5" t="s" s="167">
        <v>1358</v>
      </c>
      <c r="E5" t="s" s="167">
        <v>1156</v>
      </c>
      <c r="F5" t="s" s="167">
        <v>1364</v>
      </c>
      <c r="G5" s="255">
        <v>1</v>
      </c>
      <c r="H5" s="105"/>
      <c r="I5" s="105"/>
      <c r="J5" s="105"/>
      <c r="K5" s="105"/>
      <c r="L5" s="105"/>
      <c r="M5" s="254"/>
      <c r="N5" s="254"/>
      <c r="O5" t="s" s="276">
        <v>1365</v>
      </c>
      <c r="P5" s="254"/>
      <c r="Q5" s="255">
        <v>24</v>
      </c>
      <c r="R5" s="255">
        <v>1</v>
      </c>
      <c r="S5" s="254"/>
      <c r="T5" s="254"/>
      <c r="U5" s="108">
        <v>3</v>
      </c>
      <c r="V5" s="255">
        <v>2</v>
      </c>
      <c r="W5" s="255">
        <v>2</v>
      </c>
      <c r="X5" s="105"/>
      <c r="Y5" s="105"/>
      <c r="Z5" s="105"/>
      <c r="AA5" s="105"/>
      <c r="AB5" s="105"/>
      <c r="AC5" s="105"/>
      <c r="AD5" t="s" s="167">
        <v>146</v>
      </c>
      <c r="AE5" s="115"/>
      <c r="AF5" s="8"/>
      <c r="AG5" s="17"/>
      <c r="AH5" s="17"/>
      <c r="AI5" s="17"/>
      <c r="AJ5" s="17"/>
      <c r="AK5" s="17"/>
      <c r="AL5" s="17"/>
      <c r="AM5" s="17"/>
      <c r="AN5" s="17"/>
      <c r="AO5" s="17"/>
      <c r="AP5" s="17"/>
      <c r="AQ5" s="17"/>
      <c r="AR5" s="17"/>
      <c r="AS5" s="17"/>
      <c r="AT5" s="17"/>
      <c r="AU5" s="17"/>
      <c r="AV5" s="17"/>
      <c r="AW5" s="17"/>
      <c r="AX5" s="17"/>
      <c r="AY5" s="17"/>
    </row>
    <row r="6" ht="17" customHeight="1">
      <c r="A6" t="s" s="167">
        <v>1357</v>
      </c>
      <c r="B6" s="105"/>
      <c r="C6" s="108">
        <v>1</v>
      </c>
      <c r="D6" t="s" s="167">
        <v>1358</v>
      </c>
      <c r="E6" t="s" s="167">
        <v>1156</v>
      </c>
      <c r="F6" t="s" s="167">
        <v>408</v>
      </c>
      <c r="G6" s="254"/>
      <c r="H6" s="105"/>
      <c r="I6" s="105"/>
      <c r="J6" s="108">
        <v>1</v>
      </c>
      <c r="K6" s="105"/>
      <c r="L6" s="105"/>
      <c r="M6" s="254"/>
      <c r="N6" s="254"/>
      <c r="O6" t="s" s="276">
        <v>1366</v>
      </c>
      <c r="P6" s="254"/>
      <c r="Q6" s="255">
        <v>2</v>
      </c>
      <c r="R6" s="254"/>
      <c r="S6" s="254"/>
      <c r="T6" s="254"/>
      <c r="U6" s="105"/>
      <c r="V6" s="105"/>
      <c r="W6" s="105"/>
      <c r="X6" s="105"/>
      <c r="Y6" s="105"/>
      <c r="Z6" s="105"/>
      <c r="AA6" s="105"/>
      <c r="AB6" s="105"/>
      <c r="AC6" s="105"/>
      <c r="AD6" t="s" s="167">
        <v>146</v>
      </c>
      <c r="AE6" s="115"/>
      <c r="AF6" s="8"/>
      <c r="AG6" s="17"/>
      <c r="AH6" s="17"/>
      <c r="AI6" s="17"/>
      <c r="AJ6" s="17"/>
      <c r="AK6" s="17"/>
      <c r="AL6" s="17"/>
      <c r="AM6" s="17"/>
      <c r="AN6" s="17"/>
      <c r="AO6" s="17"/>
      <c r="AP6" s="17"/>
      <c r="AQ6" s="17"/>
      <c r="AR6" s="17"/>
      <c r="AS6" s="17"/>
      <c r="AT6" s="17"/>
      <c r="AU6" s="17"/>
      <c r="AV6" s="17"/>
      <c r="AW6" s="17"/>
      <c r="AX6" s="17"/>
      <c r="AY6" s="17"/>
    </row>
    <row r="7" ht="17" customHeight="1">
      <c r="A7" t="s" s="167">
        <v>1357</v>
      </c>
      <c r="B7" s="105"/>
      <c r="C7" s="108">
        <v>1</v>
      </c>
      <c r="D7" t="s" s="167">
        <v>1358</v>
      </c>
      <c r="E7" t="s" s="167">
        <v>1156</v>
      </c>
      <c r="F7" t="s" s="167">
        <v>1367</v>
      </c>
      <c r="G7" s="254"/>
      <c r="H7" s="105"/>
      <c r="I7" s="108">
        <v>1</v>
      </c>
      <c r="J7" s="105"/>
      <c r="K7" s="105"/>
      <c r="L7" s="105"/>
      <c r="M7" s="254"/>
      <c r="N7" s="254"/>
      <c r="O7" t="s" s="276">
        <v>465</v>
      </c>
      <c r="P7" s="254"/>
      <c r="Q7" t="s" s="276">
        <v>1368</v>
      </c>
      <c r="R7" s="254"/>
      <c r="S7" s="254"/>
      <c r="T7" s="254"/>
      <c r="U7" s="105"/>
      <c r="V7" s="105"/>
      <c r="W7" s="105"/>
      <c r="X7" s="105"/>
      <c r="Y7" s="105"/>
      <c r="Z7" s="105"/>
      <c r="AA7" s="105"/>
      <c r="AB7" s="105"/>
      <c r="AC7" s="105"/>
      <c r="AD7" t="s" s="167">
        <v>146</v>
      </c>
      <c r="AE7" s="115"/>
      <c r="AF7" s="8"/>
      <c r="AG7" s="17"/>
      <c r="AH7" s="17"/>
      <c r="AI7" s="17"/>
      <c r="AJ7" s="17"/>
      <c r="AK7" s="17"/>
      <c r="AL7" s="17"/>
      <c r="AM7" s="17"/>
      <c r="AN7" s="17"/>
      <c r="AO7" s="17"/>
      <c r="AP7" s="17"/>
      <c r="AQ7" s="17"/>
      <c r="AR7" s="17"/>
      <c r="AS7" s="17"/>
      <c r="AT7" s="17"/>
      <c r="AU7" s="17"/>
      <c r="AV7" s="17"/>
      <c r="AW7" s="17"/>
      <c r="AX7" s="17"/>
      <c r="AY7" s="17"/>
    </row>
    <row r="8" ht="17.45" customHeight="1">
      <c r="A8" t="s" s="167">
        <v>1357</v>
      </c>
      <c r="B8" s="105"/>
      <c r="C8" s="108">
        <v>1</v>
      </c>
      <c r="D8" t="s" s="167">
        <v>1358</v>
      </c>
      <c r="E8" t="s" s="167">
        <v>1369</v>
      </c>
      <c r="F8" t="s" s="167">
        <v>1370</v>
      </c>
      <c r="G8" s="255">
        <v>1</v>
      </c>
      <c r="H8" s="105"/>
      <c r="I8" s="105"/>
      <c r="J8" s="105"/>
      <c r="K8" s="105"/>
      <c r="L8" s="105"/>
      <c r="M8" s="254"/>
      <c r="N8" s="254"/>
      <c r="O8" s="254"/>
      <c r="P8" s="255">
        <v>1</v>
      </c>
      <c r="Q8" s="255">
        <v>27</v>
      </c>
      <c r="R8" s="254"/>
      <c r="S8" s="255">
        <v>1</v>
      </c>
      <c r="T8" s="254"/>
      <c r="U8" s="105"/>
      <c r="V8" s="105"/>
      <c r="W8" s="105"/>
      <c r="X8" t="s" s="167">
        <v>1371</v>
      </c>
      <c r="Y8" s="105"/>
      <c r="Z8" s="108">
        <v>1</v>
      </c>
      <c r="AA8" s="105"/>
      <c r="AB8" s="105"/>
      <c r="AC8" s="105"/>
      <c r="AD8" t="s" s="167">
        <v>146</v>
      </c>
      <c r="AE8" s="115"/>
      <c r="AF8" s="8"/>
      <c r="AG8" s="17"/>
      <c r="AH8" s="17"/>
      <c r="AI8" s="17"/>
      <c r="AJ8" s="17"/>
      <c r="AK8" s="17"/>
      <c r="AL8" s="17"/>
      <c r="AM8" s="17"/>
      <c r="AN8" s="17"/>
      <c r="AO8" s="17"/>
      <c r="AP8" s="17"/>
      <c r="AQ8" s="17"/>
      <c r="AR8" s="17"/>
      <c r="AS8" s="17"/>
      <c r="AT8" s="17"/>
      <c r="AU8" s="17"/>
      <c r="AV8" s="17"/>
      <c r="AW8" s="17"/>
      <c r="AX8" s="17"/>
      <c r="AY8" s="17"/>
    </row>
    <row r="9" ht="17.45" customHeight="1">
      <c r="A9" t="s" s="167">
        <v>1357</v>
      </c>
      <c r="B9" s="105"/>
      <c r="C9" s="108">
        <v>1</v>
      </c>
      <c r="D9" t="s" s="167">
        <v>1358</v>
      </c>
      <c r="E9" t="s" s="167">
        <v>1372</v>
      </c>
      <c r="F9" t="s" s="167">
        <v>1373</v>
      </c>
      <c r="G9" s="254"/>
      <c r="H9" s="108">
        <v>1</v>
      </c>
      <c r="I9" s="105"/>
      <c r="J9" s="105"/>
      <c r="K9" s="105"/>
      <c r="L9" s="105"/>
      <c r="M9" s="254"/>
      <c r="N9" s="254"/>
      <c r="O9" s="254"/>
      <c r="P9" s="255">
        <v>1</v>
      </c>
      <c r="Q9" s="255">
        <v>17</v>
      </c>
      <c r="R9" s="254"/>
      <c r="S9" s="255">
        <v>1</v>
      </c>
      <c r="T9" s="105"/>
      <c r="U9" s="105"/>
      <c r="V9" s="105"/>
      <c r="W9" s="105"/>
      <c r="X9" t="s" s="167">
        <v>1374</v>
      </c>
      <c r="Y9" s="105"/>
      <c r="Z9" s="108">
        <v>1</v>
      </c>
      <c r="AA9" s="105"/>
      <c r="AB9" s="105"/>
      <c r="AC9" s="108">
        <v>1</v>
      </c>
      <c r="AD9" s="105"/>
      <c r="AE9" s="115"/>
      <c r="AF9" s="8"/>
      <c r="AG9" s="17"/>
      <c r="AH9" s="17"/>
      <c r="AI9" s="17"/>
      <c r="AJ9" s="17"/>
      <c r="AK9" s="17"/>
      <c r="AL9" s="17"/>
      <c r="AM9" s="17"/>
      <c r="AN9" s="17"/>
      <c r="AO9" s="17"/>
      <c r="AP9" s="17"/>
      <c r="AQ9" s="17"/>
      <c r="AR9" s="17"/>
      <c r="AS9" s="17"/>
      <c r="AT9" s="17"/>
      <c r="AU9" s="17"/>
      <c r="AV9" s="17"/>
      <c r="AW9" s="17"/>
      <c r="AX9" s="17"/>
      <c r="AY9" s="17"/>
    </row>
    <row r="10" ht="17.45" customHeight="1">
      <c r="A10" t="s" s="167">
        <v>1375</v>
      </c>
      <c r="B10" s="105"/>
      <c r="C10" s="108">
        <v>3</v>
      </c>
      <c r="D10" t="s" s="167">
        <v>1358</v>
      </c>
      <c r="E10" t="s" s="167">
        <v>436</v>
      </c>
      <c r="F10" t="s" s="167">
        <v>1376</v>
      </c>
      <c r="G10" s="254"/>
      <c r="H10" s="108">
        <v>1</v>
      </c>
      <c r="I10" s="105"/>
      <c r="J10" s="105"/>
      <c r="K10" s="108">
        <v>1</v>
      </c>
      <c r="L10" s="105"/>
      <c r="M10" s="254"/>
      <c r="N10" s="254"/>
      <c r="O10" s="254"/>
      <c r="P10" s="254"/>
      <c r="Q10" s="255">
        <v>50</v>
      </c>
      <c r="R10" s="254"/>
      <c r="S10" s="255">
        <v>1</v>
      </c>
      <c r="T10" s="255">
        <v>1</v>
      </c>
      <c r="U10" s="105"/>
      <c r="V10" s="105"/>
      <c r="W10" s="105"/>
      <c r="X10" t="s" s="167">
        <v>337</v>
      </c>
      <c r="Y10" s="105"/>
      <c r="Z10" s="108">
        <v>1</v>
      </c>
      <c r="AA10" s="108">
        <v>1</v>
      </c>
      <c r="AB10" s="105"/>
      <c r="AC10" s="108">
        <v>1</v>
      </c>
      <c r="AD10" s="105"/>
      <c r="AE10" s="115"/>
      <c r="AF10" s="8"/>
      <c r="AG10" s="17"/>
      <c r="AH10" s="17"/>
      <c r="AI10" s="17"/>
      <c r="AJ10" s="17"/>
      <c r="AK10" s="17"/>
      <c r="AL10" s="17"/>
      <c r="AM10" s="17"/>
      <c r="AN10" s="17"/>
      <c r="AO10" s="17"/>
      <c r="AP10" s="17"/>
      <c r="AQ10" s="17"/>
      <c r="AR10" s="17"/>
      <c r="AS10" s="17"/>
      <c r="AT10" s="17"/>
      <c r="AU10" s="17"/>
      <c r="AV10" s="17"/>
      <c r="AW10" s="17"/>
      <c r="AX10" s="17"/>
      <c r="AY10" s="17"/>
    </row>
    <row r="11" ht="17.45" customHeight="1">
      <c r="A11" t="s" s="167">
        <v>1375</v>
      </c>
      <c r="B11" s="105"/>
      <c r="C11" s="108">
        <v>3</v>
      </c>
      <c r="D11" t="s" s="167">
        <v>1358</v>
      </c>
      <c r="E11" t="s" s="167">
        <v>436</v>
      </c>
      <c r="F11" t="s" s="167">
        <v>1377</v>
      </c>
      <c r="G11" s="255">
        <v>1</v>
      </c>
      <c r="H11" s="105"/>
      <c r="I11" s="105"/>
      <c r="J11" s="105"/>
      <c r="K11" s="105"/>
      <c r="L11" s="105"/>
      <c r="M11" s="255">
        <v>1</v>
      </c>
      <c r="N11" s="254"/>
      <c r="O11" s="254"/>
      <c r="P11" s="254"/>
      <c r="Q11" s="255">
        <v>24</v>
      </c>
      <c r="R11" s="254"/>
      <c r="S11" s="255">
        <v>1</v>
      </c>
      <c r="T11" s="254"/>
      <c r="U11" s="105"/>
      <c r="V11" s="105"/>
      <c r="W11" s="105"/>
      <c r="X11" s="105"/>
      <c r="Y11" s="105"/>
      <c r="Z11" s="105"/>
      <c r="AA11" s="105"/>
      <c r="AB11" s="105"/>
      <c r="AC11" s="108">
        <v>1</v>
      </c>
      <c r="AD11" s="105"/>
      <c r="AE11" s="115"/>
      <c r="AF11" s="8"/>
      <c r="AG11" s="17"/>
      <c r="AH11" s="17"/>
      <c r="AI11" s="17"/>
      <c r="AJ11" s="17"/>
      <c r="AK11" s="17"/>
      <c r="AL11" s="17"/>
      <c r="AM11" s="17"/>
      <c r="AN11" s="17"/>
      <c r="AO11" s="17"/>
      <c r="AP11" s="17"/>
      <c r="AQ11" s="17"/>
      <c r="AR11" s="17"/>
      <c r="AS11" s="17"/>
      <c r="AT11" s="17"/>
      <c r="AU11" s="17"/>
      <c r="AV11" s="17"/>
      <c r="AW11" s="17"/>
      <c r="AX11" s="17"/>
      <c r="AY11" s="17"/>
    </row>
    <row r="12" ht="17.45" customHeight="1">
      <c r="A12" t="s" s="167">
        <v>1375</v>
      </c>
      <c r="B12" s="105"/>
      <c r="C12" s="108">
        <v>3</v>
      </c>
      <c r="D12" t="s" s="167">
        <v>1358</v>
      </c>
      <c r="E12" t="s" s="167">
        <v>436</v>
      </c>
      <c r="F12" t="s" s="167">
        <v>1378</v>
      </c>
      <c r="G12" s="255">
        <v>1</v>
      </c>
      <c r="H12" s="105"/>
      <c r="I12" s="105"/>
      <c r="J12" s="105"/>
      <c r="K12" s="105"/>
      <c r="L12" s="105"/>
      <c r="M12" s="108">
        <v>1</v>
      </c>
      <c r="N12" s="105"/>
      <c r="O12" s="105"/>
      <c r="P12" s="105"/>
      <c r="Q12" s="255">
        <v>22</v>
      </c>
      <c r="R12" s="105"/>
      <c r="S12" s="255">
        <v>1</v>
      </c>
      <c r="T12" s="105"/>
      <c r="U12" s="105"/>
      <c r="V12" s="105"/>
      <c r="W12" s="105"/>
      <c r="X12" s="105"/>
      <c r="Y12" s="105"/>
      <c r="Z12" s="105"/>
      <c r="AA12" s="105"/>
      <c r="AB12" s="105"/>
      <c r="AC12" s="108">
        <v>1</v>
      </c>
      <c r="AD12" s="105"/>
      <c r="AE12" s="115"/>
      <c r="AF12" s="8"/>
      <c r="AG12" s="17"/>
      <c r="AH12" s="17"/>
      <c r="AI12" s="17"/>
      <c r="AJ12" s="17"/>
      <c r="AK12" s="17"/>
      <c r="AL12" s="17"/>
      <c r="AM12" s="17"/>
      <c r="AN12" s="17"/>
      <c r="AO12" s="17"/>
      <c r="AP12" s="17"/>
      <c r="AQ12" s="17"/>
      <c r="AR12" s="17"/>
      <c r="AS12" s="17"/>
      <c r="AT12" s="17"/>
      <c r="AU12" s="17"/>
      <c r="AV12" s="17"/>
      <c r="AW12" s="17"/>
      <c r="AX12" s="17"/>
      <c r="AY12" s="17"/>
    </row>
    <row r="13" ht="17.45" customHeight="1">
      <c r="A13" t="s" s="167">
        <v>1375</v>
      </c>
      <c r="B13" s="105"/>
      <c r="C13" s="108">
        <v>3</v>
      </c>
      <c r="D13" t="s" s="167">
        <v>1358</v>
      </c>
      <c r="E13" t="s" s="167">
        <v>1379</v>
      </c>
      <c r="F13" t="s" s="167">
        <v>492</v>
      </c>
      <c r="G13" s="255">
        <v>1</v>
      </c>
      <c r="H13" s="105"/>
      <c r="I13" s="105"/>
      <c r="J13" s="105"/>
      <c r="K13" s="105"/>
      <c r="L13" s="105"/>
      <c r="M13" s="254"/>
      <c r="N13" s="254"/>
      <c r="O13" s="254"/>
      <c r="P13" s="255">
        <v>1</v>
      </c>
      <c r="Q13" s="255">
        <v>21</v>
      </c>
      <c r="R13" s="254"/>
      <c r="S13" s="255">
        <v>1</v>
      </c>
      <c r="T13" s="254"/>
      <c r="U13" s="105"/>
      <c r="V13" s="105"/>
      <c r="W13" s="105"/>
      <c r="X13" t="s" s="167">
        <v>1380</v>
      </c>
      <c r="Y13" s="105"/>
      <c r="Z13" s="108">
        <v>1</v>
      </c>
      <c r="AA13" s="105"/>
      <c r="AB13" s="105"/>
      <c r="AC13" s="108">
        <v>1</v>
      </c>
      <c r="AD13" s="105"/>
      <c r="AE13" s="115"/>
      <c r="AF13" s="8"/>
      <c r="AG13" s="17"/>
      <c r="AH13" s="17"/>
      <c r="AI13" s="17"/>
      <c r="AJ13" s="17"/>
      <c r="AK13" s="17"/>
      <c r="AL13" s="17"/>
      <c r="AM13" s="17"/>
      <c r="AN13" s="17"/>
      <c r="AO13" s="17"/>
      <c r="AP13" s="17"/>
      <c r="AQ13" s="17"/>
      <c r="AR13" s="17"/>
      <c r="AS13" s="17"/>
      <c r="AT13" s="17"/>
      <c r="AU13" s="17"/>
      <c r="AV13" s="17"/>
      <c r="AW13" s="17"/>
      <c r="AX13" s="17"/>
      <c r="AY13" s="17"/>
    </row>
    <row r="14" ht="17.45" customHeight="1">
      <c r="A14" t="s" s="167">
        <v>1381</v>
      </c>
      <c r="B14" s="105"/>
      <c r="C14" s="108">
        <v>5</v>
      </c>
      <c r="D14" t="s" s="167">
        <v>1358</v>
      </c>
      <c r="E14" t="s" s="167">
        <v>1382</v>
      </c>
      <c r="F14" t="s" s="167">
        <v>1383</v>
      </c>
      <c r="G14" s="255">
        <v>1</v>
      </c>
      <c r="H14" s="105"/>
      <c r="I14" s="105"/>
      <c r="J14" s="105"/>
      <c r="K14" s="108">
        <v>1</v>
      </c>
      <c r="L14" s="105"/>
      <c r="M14" s="254"/>
      <c r="N14" s="254"/>
      <c r="O14" s="254"/>
      <c r="P14" s="254"/>
      <c r="Q14" s="255">
        <v>69</v>
      </c>
      <c r="R14" s="254"/>
      <c r="S14" s="255">
        <v>1</v>
      </c>
      <c r="T14" s="255">
        <v>1</v>
      </c>
      <c r="U14" s="105"/>
      <c r="V14" s="105"/>
      <c r="W14" s="105"/>
      <c r="X14" t="s" s="167">
        <v>1384</v>
      </c>
      <c r="Y14" s="105"/>
      <c r="Z14" s="105"/>
      <c r="AA14" s="105"/>
      <c r="AB14" s="105"/>
      <c r="AC14" s="108">
        <v>1</v>
      </c>
      <c r="AD14" s="105"/>
      <c r="AE14" s="115"/>
      <c r="AF14" s="8"/>
      <c r="AG14" s="17"/>
      <c r="AH14" s="17"/>
      <c r="AI14" s="17"/>
      <c r="AJ14" s="17"/>
      <c r="AK14" s="17"/>
      <c r="AL14" s="17"/>
      <c r="AM14" s="17"/>
      <c r="AN14" s="17"/>
      <c r="AO14" s="17"/>
      <c r="AP14" s="17"/>
      <c r="AQ14" s="17"/>
      <c r="AR14" s="17"/>
      <c r="AS14" s="17"/>
      <c r="AT14" s="17"/>
      <c r="AU14" s="17"/>
      <c r="AV14" s="17"/>
      <c r="AW14" s="17"/>
      <c r="AX14" s="17"/>
      <c r="AY14" s="17"/>
    </row>
    <row r="15" ht="17" customHeight="1">
      <c r="A15" t="s" s="167">
        <v>1381</v>
      </c>
      <c r="B15" s="105"/>
      <c r="C15" s="108">
        <v>5</v>
      </c>
      <c r="D15" t="s" s="167">
        <v>1358</v>
      </c>
      <c r="E15" t="s" s="277">
        <v>1385</v>
      </c>
      <c r="F15" t="s" s="276">
        <v>253</v>
      </c>
      <c r="G15" s="255">
        <v>1</v>
      </c>
      <c r="H15" s="254"/>
      <c r="I15" s="254"/>
      <c r="J15" s="254"/>
      <c r="K15" s="254"/>
      <c r="L15" s="254"/>
      <c r="M15" s="254"/>
      <c r="N15" s="254"/>
      <c r="O15" s="254"/>
      <c r="P15" s="255">
        <v>1</v>
      </c>
      <c r="Q15" s="255">
        <v>40</v>
      </c>
      <c r="R15" s="254"/>
      <c r="S15" s="255">
        <v>1</v>
      </c>
      <c r="T15" s="254"/>
      <c r="U15" s="254"/>
      <c r="V15" s="254"/>
      <c r="W15" s="254"/>
      <c r="X15" t="s" s="276">
        <v>1386</v>
      </c>
      <c r="Y15" s="254"/>
      <c r="Z15" s="255">
        <v>1</v>
      </c>
      <c r="AA15" s="254"/>
      <c r="AB15" s="254"/>
      <c r="AC15" s="254"/>
      <c r="AD15" t="s" s="276">
        <v>1387</v>
      </c>
      <c r="AE15" s="115"/>
      <c r="AF15" s="8"/>
      <c r="AG15" s="17"/>
      <c r="AH15" s="17"/>
      <c r="AI15" s="17"/>
      <c r="AJ15" s="17"/>
      <c r="AK15" s="17"/>
      <c r="AL15" s="17"/>
      <c r="AM15" s="17"/>
      <c r="AN15" s="17"/>
      <c r="AO15" s="17"/>
      <c r="AP15" s="17"/>
      <c r="AQ15" s="17"/>
      <c r="AR15" s="17"/>
      <c r="AS15" s="17"/>
      <c r="AT15" s="17"/>
      <c r="AU15" s="17"/>
      <c r="AV15" s="17"/>
      <c r="AW15" s="17"/>
      <c r="AX15" s="17"/>
      <c r="AY15" s="17"/>
    </row>
    <row r="16" ht="28" customHeight="1">
      <c r="A16" t="s" s="167">
        <v>1381</v>
      </c>
      <c r="B16" s="105"/>
      <c r="C16" s="108">
        <v>5</v>
      </c>
      <c r="D16" t="s" s="167">
        <v>1358</v>
      </c>
      <c r="E16" t="s" s="277">
        <v>1388</v>
      </c>
      <c r="F16" t="s" s="276">
        <v>1389</v>
      </c>
      <c r="G16" s="255">
        <v>1</v>
      </c>
      <c r="H16" s="254"/>
      <c r="I16" s="254"/>
      <c r="J16" s="254"/>
      <c r="K16" s="278"/>
      <c r="L16" s="254"/>
      <c r="M16" s="254"/>
      <c r="N16" s="254"/>
      <c r="O16" s="254"/>
      <c r="P16" s="255">
        <v>1</v>
      </c>
      <c r="Q16" s="279">
        <v>18</v>
      </c>
      <c r="R16" s="278"/>
      <c r="S16" s="255">
        <v>1</v>
      </c>
      <c r="T16" s="280"/>
      <c r="U16" s="254"/>
      <c r="V16" s="254"/>
      <c r="W16" s="254"/>
      <c r="X16" t="s" s="276">
        <v>1374</v>
      </c>
      <c r="Y16" s="254"/>
      <c r="Z16" s="255">
        <v>1</v>
      </c>
      <c r="AA16" s="254"/>
      <c r="AB16" s="254"/>
      <c r="AC16" s="254"/>
      <c r="AD16" t="s" s="277">
        <v>1390</v>
      </c>
      <c r="AE16" s="115"/>
      <c r="AF16" s="8"/>
      <c r="AG16" s="17"/>
      <c r="AH16" s="17"/>
      <c r="AI16" s="17"/>
      <c r="AJ16" s="17"/>
      <c r="AK16" s="17"/>
      <c r="AL16" s="17"/>
      <c r="AM16" s="17"/>
      <c r="AN16" s="17"/>
      <c r="AO16" s="17"/>
      <c r="AP16" s="17"/>
      <c r="AQ16" s="17"/>
      <c r="AR16" s="17"/>
      <c r="AS16" s="17"/>
      <c r="AT16" s="17"/>
      <c r="AU16" s="17"/>
      <c r="AV16" s="17"/>
      <c r="AW16" s="17"/>
      <c r="AX16" s="17"/>
      <c r="AY16" s="17"/>
    </row>
    <row r="17" ht="17" customHeight="1">
      <c r="A17" t="s" s="167">
        <v>285</v>
      </c>
      <c r="B17" s="105"/>
      <c r="C17" s="108">
        <v>3</v>
      </c>
      <c r="D17" s="105"/>
      <c r="E17" s="108">
        <v>9</v>
      </c>
      <c r="F17" s="108">
        <v>14</v>
      </c>
      <c r="G17" s="108">
        <f>SUM(G3:G16)</f>
        <v>10</v>
      </c>
      <c r="H17" s="108">
        <f>SUM(H3:H16)</f>
        <v>2</v>
      </c>
      <c r="I17" s="108">
        <f>SUM(I3:I16)</f>
        <v>1</v>
      </c>
      <c r="J17" s="108">
        <f>SUM(J3:J16)</f>
        <v>1</v>
      </c>
      <c r="K17" s="108">
        <f>SUM(K3:K16)</f>
        <v>3</v>
      </c>
      <c r="L17" s="108">
        <f>SUM(L3:L16)</f>
        <v>1</v>
      </c>
      <c r="M17" s="108">
        <f>SUM(M3:M16)</f>
        <v>2</v>
      </c>
      <c r="N17" s="108">
        <f>SUM(N3:N16)</f>
        <v>0</v>
      </c>
      <c r="O17" s="108">
        <v>3</v>
      </c>
      <c r="P17" s="108">
        <f>SUM(P3:P16)</f>
        <v>5</v>
      </c>
      <c r="Q17" s="108">
        <f>SUM(Q3:Q16)</f>
        <v>390</v>
      </c>
      <c r="R17" s="108">
        <f>SUM(R3:R16)</f>
        <v>3</v>
      </c>
      <c r="S17" s="108">
        <f>SUM(S3:S16)</f>
        <v>9</v>
      </c>
      <c r="T17" s="108">
        <f>SUM(T3:T16)</f>
        <v>2</v>
      </c>
      <c r="U17" s="108">
        <f>SUM(U3:U16)</f>
        <v>3</v>
      </c>
      <c r="V17" s="108">
        <f>SUM(V3:V16)</f>
        <v>2</v>
      </c>
      <c r="W17" s="108">
        <f>SUM(W3:W16)</f>
        <v>2</v>
      </c>
      <c r="X17" s="105"/>
      <c r="Y17" s="108">
        <f>SUM(Y3:Y16)</f>
        <v>0</v>
      </c>
      <c r="Z17" s="108">
        <f>SUM(Z3:Z16)</f>
        <v>7</v>
      </c>
      <c r="AA17" s="108">
        <f>SUM(AA3:AA16)</f>
        <v>2</v>
      </c>
      <c r="AB17" s="108">
        <f>SUM(AB3:AB16)</f>
        <v>0</v>
      </c>
      <c r="AC17" s="108">
        <f>SUM(AC3:AC16)</f>
        <v>6</v>
      </c>
      <c r="AD17" s="108">
        <f>F17-AC17</f>
        <v>8</v>
      </c>
      <c r="AE17" s="115"/>
      <c r="AF17" s="8"/>
      <c r="AG17" s="17"/>
      <c r="AH17" s="17"/>
      <c r="AI17" s="17"/>
      <c r="AJ17" s="17"/>
      <c r="AK17" s="17"/>
      <c r="AL17" s="17"/>
      <c r="AM17" s="17"/>
      <c r="AN17" s="17"/>
      <c r="AO17" s="17"/>
      <c r="AP17" s="17"/>
      <c r="AQ17" s="17"/>
      <c r="AR17" s="17"/>
      <c r="AS17" s="17"/>
      <c r="AT17" s="17"/>
      <c r="AU17" s="17"/>
      <c r="AV17" s="17"/>
      <c r="AW17" s="17"/>
      <c r="AX17" s="17"/>
      <c r="AY17" s="17"/>
    </row>
    <row r="18" ht="17.45" customHeight="1">
      <c r="A18" s="180"/>
      <c r="B18" s="180"/>
      <c r="C18" s="180"/>
      <c r="D18" s="180"/>
      <c r="E18" s="180"/>
      <c r="F18" s="180"/>
      <c r="G18" s="180"/>
      <c r="H18" s="180"/>
      <c r="I18" s="180"/>
      <c r="J18" s="180"/>
      <c r="K18" s="180"/>
      <c r="L18" s="180"/>
      <c r="M18" s="281"/>
      <c r="N18" s="281"/>
      <c r="O18" s="281"/>
      <c r="P18" s="281"/>
      <c r="Q18" s="281"/>
      <c r="R18" s="281"/>
      <c r="S18" s="281"/>
      <c r="T18" s="281"/>
      <c r="U18" s="281"/>
      <c r="V18" s="281"/>
      <c r="W18" s="281"/>
      <c r="X18" s="180"/>
      <c r="Y18" s="180"/>
      <c r="Z18" s="180"/>
      <c r="AA18" s="180"/>
      <c r="AB18" s="180"/>
      <c r="AC18" s="180"/>
      <c r="AD18" s="180"/>
      <c r="AE18" s="17"/>
      <c r="AF18" s="8"/>
      <c r="AG18" s="17"/>
      <c r="AH18" s="17"/>
      <c r="AI18" s="17"/>
      <c r="AJ18" s="17"/>
      <c r="AK18" s="17"/>
      <c r="AL18" s="17"/>
      <c r="AM18" s="17"/>
      <c r="AN18" s="17"/>
      <c r="AO18" s="17"/>
      <c r="AP18" s="17"/>
      <c r="AQ18" s="17"/>
      <c r="AR18" s="17"/>
      <c r="AS18" s="17"/>
      <c r="AT18" s="17"/>
      <c r="AU18" s="17"/>
      <c r="AV18" s="17"/>
      <c r="AW18" s="17"/>
      <c r="AX18" s="17"/>
      <c r="AY18" s="17"/>
    </row>
    <row r="19" ht="17.45" customHeight="1">
      <c r="A19" s="17"/>
      <c r="B19" s="17"/>
      <c r="C19" s="17"/>
      <c r="D19" s="17"/>
      <c r="E19" s="17"/>
      <c r="F19" s="17"/>
      <c r="G19" s="17"/>
      <c r="H19" s="17"/>
      <c r="I19" s="17"/>
      <c r="J19" s="17"/>
      <c r="K19" s="17"/>
      <c r="L19" s="36"/>
      <c r="M19" s="36"/>
      <c r="N19" s="36"/>
      <c r="O19" s="36"/>
      <c r="P19" s="36"/>
      <c r="Q19" s="36"/>
      <c r="R19" s="36"/>
      <c r="S19" s="36"/>
      <c r="T19" s="117"/>
      <c r="U19" s="36"/>
      <c r="V19" s="36"/>
      <c r="W19" s="36"/>
      <c r="X19" s="17"/>
      <c r="Y19" s="17"/>
      <c r="Z19" s="17"/>
      <c r="AA19" s="17"/>
      <c r="AB19" s="17"/>
      <c r="AC19" s="17"/>
      <c r="AD19" s="17"/>
      <c r="AE19" s="17"/>
      <c r="AF19" s="8"/>
      <c r="AG19" s="17"/>
      <c r="AH19" s="17"/>
      <c r="AI19" s="17"/>
      <c r="AJ19" s="17"/>
      <c r="AK19" s="17"/>
      <c r="AL19" s="17"/>
      <c r="AM19" s="17"/>
      <c r="AN19" s="17"/>
      <c r="AO19" s="17"/>
      <c r="AP19" s="17"/>
      <c r="AQ19" s="17"/>
      <c r="AR19" s="17"/>
      <c r="AS19" s="17"/>
      <c r="AT19" s="17"/>
      <c r="AU19" s="17"/>
      <c r="AV19" s="17"/>
      <c r="AW19" s="17"/>
      <c r="AX19" s="17"/>
      <c r="AY19" s="17"/>
    </row>
    <row r="20" ht="17.45" customHeight="1">
      <c r="A20" s="17"/>
      <c r="B20" s="17"/>
      <c r="C20" s="17"/>
      <c r="D20" s="17"/>
      <c r="E20" s="17"/>
      <c r="F20" s="17"/>
      <c r="G20" s="17"/>
      <c r="H20" s="17"/>
      <c r="I20" s="17"/>
      <c r="J20" s="17"/>
      <c r="K20" s="17"/>
      <c r="L20" s="36"/>
      <c r="M20" s="36"/>
      <c r="N20" s="36"/>
      <c r="O20" s="36"/>
      <c r="P20" s="36"/>
      <c r="Q20" s="36"/>
      <c r="R20" s="36"/>
      <c r="S20" s="36"/>
      <c r="T20" s="36"/>
      <c r="U20" s="36"/>
      <c r="V20" s="36"/>
      <c r="W20" s="36"/>
      <c r="X20" s="17"/>
      <c r="Y20" s="17"/>
      <c r="Z20" s="17"/>
      <c r="AA20" s="17"/>
      <c r="AB20" s="17"/>
      <c r="AC20" s="17"/>
      <c r="AD20" s="17"/>
      <c r="AE20" s="17"/>
      <c r="AF20" s="8"/>
      <c r="AG20" s="17"/>
      <c r="AH20" s="17"/>
      <c r="AI20" s="17"/>
      <c r="AJ20" s="17"/>
      <c r="AK20" s="17"/>
      <c r="AL20" s="17"/>
      <c r="AM20" s="17"/>
      <c r="AN20" s="17"/>
      <c r="AO20" s="17"/>
      <c r="AP20" s="17"/>
      <c r="AQ20" s="17"/>
      <c r="AR20" s="17"/>
      <c r="AS20" s="17"/>
      <c r="AT20" s="17"/>
      <c r="AU20" s="17"/>
      <c r="AV20" s="17"/>
      <c r="AW20" s="17"/>
      <c r="AX20" s="17"/>
      <c r="AY20" s="17"/>
    </row>
    <row r="21" ht="17.45" customHeight="1">
      <c r="A21" s="17"/>
      <c r="B21" s="17"/>
      <c r="C21" s="17"/>
      <c r="D21" s="17"/>
      <c r="E21" s="17"/>
      <c r="F21" s="17"/>
      <c r="G21" s="17"/>
      <c r="H21" s="17"/>
      <c r="I21" s="17"/>
      <c r="J21" s="17"/>
      <c r="K21" s="17"/>
      <c r="L21" s="17"/>
      <c r="M21" s="36"/>
      <c r="N21" s="36"/>
      <c r="O21" s="36"/>
      <c r="P21" s="36"/>
      <c r="Q21" s="17"/>
      <c r="R21" s="36"/>
      <c r="S21" s="36"/>
      <c r="T21" s="17"/>
      <c r="U21" s="17"/>
      <c r="V21" s="17"/>
      <c r="W21" s="17"/>
      <c r="X21" s="17"/>
      <c r="Y21" s="17"/>
      <c r="Z21" s="17"/>
      <c r="AA21" s="17"/>
      <c r="AB21" s="17"/>
      <c r="AC21" s="17"/>
      <c r="AD21" s="17"/>
      <c r="AE21" s="17"/>
      <c r="AF21" s="8"/>
      <c r="AG21" s="17"/>
      <c r="AH21" s="17"/>
      <c r="AI21" s="17"/>
      <c r="AJ21" s="17"/>
      <c r="AK21" s="17"/>
      <c r="AL21" s="17"/>
      <c r="AM21" s="17"/>
      <c r="AN21" s="17"/>
      <c r="AO21" s="17"/>
      <c r="AP21" s="17"/>
      <c r="AQ21" s="17"/>
      <c r="AR21" s="17"/>
      <c r="AS21" s="17"/>
      <c r="AT21" s="17"/>
      <c r="AU21" s="17"/>
      <c r="AV21" s="17"/>
      <c r="AW21" s="17"/>
      <c r="AX21" s="17"/>
      <c r="AY21" s="17"/>
    </row>
    <row r="22" ht="17.45" customHeight="1">
      <c r="A22" s="17"/>
      <c r="B22" s="17"/>
      <c r="C22" s="17"/>
      <c r="D22" s="17"/>
      <c r="E22" s="17"/>
      <c r="F22" s="17"/>
      <c r="G22" s="17"/>
      <c r="H22" s="17"/>
      <c r="I22" s="17"/>
      <c r="J22" s="17"/>
      <c r="K22" s="17"/>
      <c r="L22" s="17"/>
      <c r="M22" s="36"/>
      <c r="N22" s="36"/>
      <c r="O22" s="36"/>
      <c r="P22" s="36"/>
      <c r="Q22" s="36"/>
      <c r="R22" s="36"/>
      <c r="S22" s="36"/>
      <c r="T22" s="17"/>
      <c r="U22" s="17"/>
      <c r="V22" s="17"/>
      <c r="W22" s="17"/>
      <c r="X22" s="17"/>
      <c r="Y22" s="17"/>
      <c r="Z22" s="17"/>
      <c r="AA22" s="17"/>
      <c r="AB22" s="17"/>
      <c r="AC22" s="17"/>
      <c r="AD22" s="17"/>
      <c r="AE22" s="17"/>
      <c r="AF22" s="8"/>
      <c r="AG22" s="17"/>
      <c r="AH22" s="17"/>
      <c r="AI22" s="17"/>
      <c r="AJ22" s="17"/>
      <c r="AK22" s="17"/>
      <c r="AL22" s="17"/>
      <c r="AM22" s="17"/>
      <c r="AN22" s="17"/>
      <c r="AO22" s="17"/>
      <c r="AP22" s="17"/>
      <c r="AQ22" s="17"/>
      <c r="AR22" s="17"/>
      <c r="AS22" s="17"/>
      <c r="AT22" s="17"/>
      <c r="AU22" s="17"/>
      <c r="AV22" s="17"/>
      <c r="AW22" s="17"/>
      <c r="AX22" s="17"/>
      <c r="AY22" s="17"/>
    </row>
    <row r="23" ht="17"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8"/>
      <c r="AG23" s="17"/>
      <c r="AH23" s="17"/>
      <c r="AI23" s="17"/>
      <c r="AJ23" s="17"/>
      <c r="AK23" s="17"/>
      <c r="AL23" s="17"/>
      <c r="AM23" s="17"/>
      <c r="AN23" s="17"/>
      <c r="AO23" s="17"/>
      <c r="AP23" s="17"/>
      <c r="AQ23" s="17"/>
      <c r="AR23" s="17"/>
      <c r="AS23" s="17"/>
      <c r="AT23" s="17"/>
      <c r="AU23" s="17"/>
      <c r="AV23" s="17"/>
      <c r="AW23" s="17"/>
      <c r="AX23" s="17"/>
      <c r="AY23" s="17"/>
    </row>
    <row r="24" ht="17.45" customHeight="1">
      <c r="A24" s="17"/>
      <c r="B24" s="17"/>
      <c r="C24" s="17"/>
      <c r="D24" s="17"/>
      <c r="E24" s="17"/>
      <c r="F24" s="17"/>
      <c r="G24" s="17"/>
      <c r="H24" s="17"/>
      <c r="I24" s="17"/>
      <c r="J24" s="17"/>
      <c r="K24" s="17"/>
      <c r="L24" s="17"/>
      <c r="M24" s="36"/>
      <c r="N24" s="36"/>
      <c r="O24" s="36"/>
      <c r="P24" s="36"/>
      <c r="Q24" s="36"/>
      <c r="R24" s="36"/>
      <c r="S24" s="36"/>
      <c r="T24" s="17"/>
      <c r="U24" s="17"/>
      <c r="V24" s="17"/>
      <c r="W24" s="17"/>
      <c r="X24" s="17"/>
      <c r="Y24" s="17"/>
      <c r="Z24" s="17"/>
      <c r="AA24" s="17"/>
      <c r="AB24" s="17"/>
      <c r="AC24" s="17"/>
      <c r="AD24" s="17"/>
      <c r="AE24" s="17"/>
      <c r="AF24" s="8"/>
      <c r="AG24" s="17"/>
      <c r="AH24" s="17"/>
      <c r="AI24" s="17"/>
      <c r="AJ24" s="17"/>
      <c r="AK24" s="17"/>
      <c r="AL24" s="17"/>
      <c r="AM24" s="17"/>
      <c r="AN24" s="17"/>
      <c r="AO24" s="17"/>
      <c r="AP24" s="17"/>
      <c r="AQ24" s="17"/>
      <c r="AR24" s="17"/>
      <c r="AS24" s="17"/>
      <c r="AT24" s="17"/>
      <c r="AU24" s="17"/>
      <c r="AV24" s="17"/>
      <c r="AW24" s="17"/>
      <c r="AX24" s="17"/>
      <c r="AY24" s="17"/>
    </row>
    <row r="25" ht="17.45" customHeight="1">
      <c r="A25" s="17"/>
      <c r="B25" s="17"/>
      <c r="C25" s="17"/>
      <c r="D25" s="17"/>
      <c r="E25" s="17"/>
      <c r="F25" s="17"/>
      <c r="G25" s="17"/>
      <c r="H25" s="17"/>
      <c r="I25" s="17"/>
      <c r="J25" s="17"/>
      <c r="K25" s="17"/>
      <c r="L25" s="17"/>
      <c r="M25" s="36"/>
      <c r="N25" s="36"/>
      <c r="O25" s="36"/>
      <c r="P25" s="36"/>
      <c r="Q25" s="36"/>
      <c r="R25" s="36"/>
      <c r="S25" s="36"/>
      <c r="T25" s="17"/>
      <c r="U25" s="17"/>
      <c r="V25" s="17"/>
      <c r="W25" s="17"/>
      <c r="X25" s="17"/>
      <c r="Y25" s="17"/>
      <c r="Z25" s="17"/>
      <c r="AA25" s="17"/>
      <c r="AB25" s="17"/>
      <c r="AC25" s="17"/>
      <c r="AD25" s="17"/>
      <c r="AE25" s="17"/>
      <c r="AF25" s="8"/>
      <c r="AG25" s="17"/>
      <c r="AH25" s="17"/>
      <c r="AI25" s="17"/>
      <c r="AJ25" s="17"/>
      <c r="AK25" s="17"/>
      <c r="AL25" s="17"/>
      <c r="AM25" s="17"/>
      <c r="AN25" s="17"/>
      <c r="AO25" s="17"/>
      <c r="AP25" s="17"/>
      <c r="AQ25" s="17"/>
      <c r="AR25" s="17"/>
      <c r="AS25" s="17"/>
      <c r="AT25" s="17"/>
      <c r="AU25" s="17"/>
      <c r="AV25" s="17"/>
      <c r="AW25" s="17"/>
      <c r="AX25" s="17"/>
      <c r="AY25" s="17"/>
    </row>
    <row r="26" ht="17.45" customHeight="1">
      <c r="A26" s="17"/>
      <c r="B26" s="17"/>
      <c r="C26" s="17"/>
      <c r="D26" s="17"/>
      <c r="E26" s="17"/>
      <c r="F26" s="17"/>
      <c r="G26" s="17"/>
      <c r="H26" s="17"/>
      <c r="I26" s="17"/>
      <c r="J26" s="17"/>
      <c r="K26" s="17"/>
      <c r="L26" s="17"/>
      <c r="M26" s="36"/>
      <c r="N26" s="36"/>
      <c r="O26" s="36"/>
      <c r="P26" s="36"/>
      <c r="Q26" s="17"/>
      <c r="R26" s="36"/>
      <c r="S26" s="36"/>
      <c r="T26" s="116"/>
      <c r="U26" s="17"/>
      <c r="V26" s="17"/>
      <c r="W26" s="17"/>
      <c r="X26" s="17"/>
      <c r="Y26" s="17"/>
      <c r="Z26" s="17"/>
      <c r="AA26" s="17"/>
      <c r="AB26" s="17"/>
      <c r="AC26" s="17"/>
      <c r="AD26" s="17"/>
      <c r="AE26" s="17"/>
      <c r="AF26" s="8"/>
      <c r="AG26" s="17"/>
      <c r="AH26" s="17"/>
      <c r="AI26" s="17"/>
      <c r="AJ26" s="17"/>
      <c r="AK26" s="17"/>
      <c r="AL26" s="17"/>
      <c r="AM26" s="17"/>
      <c r="AN26" s="17"/>
      <c r="AO26" s="17"/>
      <c r="AP26" s="17"/>
      <c r="AQ26" s="17"/>
      <c r="AR26" s="17"/>
      <c r="AS26" s="17"/>
      <c r="AT26" s="17"/>
      <c r="AU26" s="17"/>
      <c r="AV26" s="17"/>
      <c r="AW26" s="17"/>
      <c r="AX26" s="17"/>
      <c r="AY26" s="17"/>
    </row>
    <row r="27" ht="17.45" customHeight="1">
      <c r="A27" s="17"/>
      <c r="B27" s="17"/>
      <c r="C27" s="17"/>
      <c r="D27" s="17"/>
      <c r="E27" s="17"/>
      <c r="F27" s="17"/>
      <c r="G27" s="17"/>
      <c r="H27" s="17"/>
      <c r="I27" s="17"/>
      <c r="J27" s="17"/>
      <c r="K27" s="17"/>
      <c r="L27" s="17"/>
      <c r="M27" s="36"/>
      <c r="N27" s="36"/>
      <c r="O27" s="36"/>
      <c r="P27" s="36"/>
      <c r="Q27" s="17"/>
      <c r="R27" s="36"/>
      <c r="S27" s="36"/>
      <c r="T27" s="17"/>
      <c r="U27" s="17"/>
      <c r="V27" s="17"/>
      <c r="W27" s="17"/>
      <c r="X27" s="17"/>
      <c r="Y27" s="17"/>
      <c r="Z27" s="17"/>
      <c r="AA27" s="17"/>
      <c r="AB27" s="17"/>
      <c r="AC27" s="17"/>
      <c r="AD27" s="17"/>
      <c r="AE27" s="17"/>
      <c r="AF27" s="8"/>
      <c r="AG27" s="17"/>
      <c r="AH27" s="17"/>
      <c r="AI27" s="17"/>
      <c r="AJ27" s="17"/>
      <c r="AK27" s="17"/>
      <c r="AL27" s="17"/>
      <c r="AM27" s="17"/>
      <c r="AN27" s="17"/>
      <c r="AO27" s="17"/>
      <c r="AP27" s="17"/>
      <c r="AQ27" s="17"/>
      <c r="AR27" s="17"/>
      <c r="AS27" s="17"/>
      <c r="AT27" s="17"/>
      <c r="AU27" s="17"/>
      <c r="AV27" s="17"/>
      <c r="AW27" s="17"/>
      <c r="AX27" s="17"/>
      <c r="AY27" s="17"/>
    </row>
    <row r="28" ht="17.45" customHeight="1">
      <c r="A28" s="17"/>
      <c r="B28" s="17"/>
      <c r="C28" s="17"/>
      <c r="D28" s="17"/>
      <c r="E28" s="17"/>
      <c r="F28" s="17"/>
      <c r="G28" s="17"/>
      <c r="H28" s="17"/>
      <c r="I28" s="17"/>
      <c r="J28" s="17"/>
      <c r="K28" s="17"/>
      <c r="L28" s="17"/>
      <c r="M28" s="36"/>
      <c r="N28" s="36"/>
      <c r="O28" s="36"/>
      <c r="P28" s="36"/>
      <c r="Q28" s="36"/>
      <c r="R28" s="36"/>
      <c r="S28" s="36"/>
      <c r="T28" s="17"/>
      <c r="U28" s="17"/>
      <c r="V28" s="17"/>
      <c r="W28" s="17"/>
      <c r="X28" s="17"/>
      <c r="Y28" s="17"/>
      <c r="Z28" s="17"/>
      <c r="AA28" s="17"/>
      <c r="AB28" s="17"/>
      <c r="AC28" s="17"/>
      <c r="AD28" s="17"/>
      <c r="AE28" s="17"/>
      <c r="AF28" s="8"/>
      <c r="AG28" s="17"/>
      <c r="AH28" s="17"/>
      <c r="AI28" s="17"/>
      <c r="AJ28" s="17"/>
      <c r="AK28" s="17"/>
      <c r="AL28" s="17"/>
      <c r="AM28" s="17"/>
      <c r="AN28" s="17"/>
      <c r="AO28" s="17"/>
      <c r="AP28" s="17"/>
      <c r="AQ28" s="17"/>
      <c r="AR28" s="17"/>
      <c r="AS28" s="17"/>
      <c r="AT28" s="17"/>
      <c r="AU28" s="17"/>
      <c r="AV28" s="17"/>
      <c r="AW28" s="17"/>
      <c r="AX28" s="17"/>
      <c r="AY28" s="17"/>
    </row>
    <row r="29" ht="17.45" customHeight="1">
      <c r="A29" s="17"/>
      <c r="B29" s="17"/>
      <c r="C29" s="17"/>
      <c r="D29" s="17"/>
      <c r="E29" s="17"/>
      <c r="F29" s="17"/>
      <c r="G29" s="17"/>
      <c r="H29" s="17"/>
      <c r="I29" s="17"/>
      <c r="J29" s="17"/>
      <c r="K29" s="17"/>
      <c r="L29" s="17"/>
      <c r="M29" s="36"/>
      <c r="N29" s="36"/>
      <c r="O29" s="36"/>
      <c r="P29" s="36"/>
      <c r="Q29" s="36"/>
      <c r="R29" s="36"/>
      <c r="S29" s="36"/>
      <c r="T29" s="17"/>
      <c r="U29" s="36"/>
      <c r="V29" s="36"/>
      <c r="W29" s="36"/>
      <c r="X29" s="17"/>
      <c r="Y29" s="17"/>
      <c r="Z29" s="17"/>
      <c r="AA29" s="17"/>
      <c r="AB29" s="17"/>
      <c r="AC29" s="17"/>
      <c r="AD29" s="17"/>
      <c r="AE29" s="17"/>
      <c r="AF29" s="8"/>
      <c r="AG29" s="17"/>
      <c r="AH29" s="17"/>
      <c r="AI29" s="17"/>
      <c r="AJ29" s="17"/>
      <c r="AK29" s="17"/>
      <c r="AL29" s="17"/>
      <c r="AM29" s="17"/>
      <c r="AN29" s="17"/>
      <c r="AO29" s="17"/>
      <c r="AP29" s="17"/>
      <c r="AQ29" s="17"/>
      <c r="AR29" s="17"/>
      <c r="AS29" s="17"/>
      <c r="AT29" s="17"/>
      <c r="AU29" s="17"/>
      <c r="AV29" s="17"/>
      <c r="AW29" s="17"/>
      <c r="AX29" s="17"/>
      <c r="AY29" s="17"/>
    </row>
    <row r="30" ht="17.45" customHeight="1">
      <c r="A30" s="17"/>
      <c r="B30" s="17"/>
      <c r="C30" s="17"/>
      <c r="D30" s="17"/>
      <c r="E30" s="17"/>
      <c r="F30" s="17"/>
      <c r="G30" s="17"/>
      <c r="H30" s="17"/>
      <c r="I30" s="17"/>
      <c r="J30" s="17"/>
      <c r="K30" s="17"/>
      <c r="L30" s="17"/>
      <c r="M30" s="36"/>
      <c r="N30" s="36"/>
      <c r="O30" s="36"/>
      <c r="P30" s="36"/>
      <c r="Q30" s="17"/>
      <c r="R30" s="36"/>
      <c r="S30" s="36"/>
      <c r="T30" s="17"/>
      <c r="U30" s="36"/>
      <c r="V30" s="36"/>
      <c r="W30" s="36"/>
      <c r="X30" s="17"/>
      <c r="Y30" s="17"/>
      <c r="Z30" s="17"/>
      <c r="AA30" s="17"/>
      <c r="AB30" s="17"/>
      <c r="AC30" s="17"/>
      <c r="AD30" s="17"/>
      <c r="AE30" s="17"/>
      <c r="AF30" s="8"/>
      <c r="AG30" s="17"/>
      <c r="AH30" s="17"/>
      <c r="AI30" s="17"/>
      <c r="AJ30" s="17"/>
      <c r="AK30" s="17"/>
      <c r="AL30" s="17"/>
      <c r="AM30" s="17"/>
      <c r="AN30" s="17"/>
      <c r="AO30" s="17"/>
      <c r="AP30" s="17"/>
      <c r="AQ30" s="17"/>
      <c r="AR30" s="17"/>
      <c r="AS30" s="17"/>
      <c r="AT30" s="17"/>
      <c r="AU30" s="17"/>
      <c r="AV30" s="17"/>
      <c r="AW30" s="17"/>
      <c r="AX30" s="17"/>
      <c r="AY30" s="17"/>
    </row>
    <row r="31" ht="17.45" customHeight="1">
      <c r="A31" s="17"/>
      <c r="B31" s="17"/>
      <c r="C31" s="17"/>
      <c r="D31" s="17"/>
      <c r="E31" s="17"/>
      <c r="F31" s="17"/>
      <c r="G31" s="17"/>
      <c r="H31" s="17"/>
      <c r="I31" s="17"/>
      <c r="J31" s="17"/>
      <c r="K31" s="17"/>
      <c r="L31" s="17"/>
      <c r="M31" s="36"/>
      <c r="N31" s="36"/>
      <c r="O31" s="36"/>
      <c r="P31" s="36"/>
      <c r="Q31" s="17"/>
      <c r="R31" s="36"/>
      <c r="S31" s="36"/>
      <c r="T31" s="17"/>
      <c r="U31" s="36"/>
      <c r="V31" s="36"/>
      <c r="W31" s="36"/>
      <c r="X31" s="17"/>
      <c r="Y31" s="17"/>
      <c r="Z31" s="17"/>
      <c r="AA31" s="17"/>
      <c r="AB31" s="17"/>
      <c r="AC31" s="17"/>
      <c r="AD31" s="17"/>
      <c r="AE31" s="17"/>
      <c r="AF31" s="8"/>
      <c r="AG31" s="17"/>
      <c r="AH31" s="17"/>
      <c r="AI31" s="17"/>
      <c r="AJ31" s="17"/>
      <c r="AK31" s="17"/>
      <c r="AL31" s="17"/>
      <c r="AM31" s="17"/>
      <c r="AN31" s="17"/>
      <c r="AO31" s="17"/>
      <c r="AP31" s="17"/>
      <c r="AQ31" s="17"/>
      <c r="AR31" s="17"/>
      <c r="AS31" s="17"/>
      <c r="AT31" s="17"/>
      <c r="AU31" s="17"/>
      <c r="AV31" s="17"/>
      <c r="AW31" s="17"/>
      <c r="AX31" s="17"/>
      <c r="AY31" s="17"/>
    </row>
    <row r="32" ht="17.45" customHeight="1">
      <c r="A32" s="17"/>
      <c r="B32" s="17"/>
      <c r="C32" s="17"/>
      <c r="D32" s="17"/>
      <c r="E32" s="17"/>
      <c r="F32" s="17"/>
      <c r="G32" s="17"/>
      <c r="H32" s="17"/>
      <c r="I32" s="17"/>
      <c r="J32" s="17"/>
      <c r="K32" s="17"/>
      <c r="L32" s="17"/>
      <c r="M32" s="36"/>
      <c r="N32" s="36"/>
      <c r="O32" s="36"/>
      <c r="P32" s="36"/>
      <c r="Q32" s="17"/>
      <c r="R32" s="36"/>
      <c r="S32" s="36"/>
      <c r="T32" s="17"/>
      <c r="U32" s="36"/>
      <c r="V32" s="36"/>
      <c r="W32" s="36"/>
      <c r="X32" s="17"/>
      <c r="Y32" s="17"/>
      <c r="Z32" s="17"/>
      <c r="AA32" s="17"/>
      <c r="AB32" s="17"/>
      <c r="AC32" s="17"/>
      <c r="AD32" s="17"/>
      <c r="AE32" s="17"/>
      <c r="AF32" s="8"/>
      <c r="AG32" s="17"/>
      <c r="AH32" s="17"/>
      <c r="AI32" s="17"/>
      <c r="AJ32" s="17"/>
      <c r="AK32" s="17"/>
      <c r="AL32" s="17"/>
      <c r="AM32" s="17"/>
      <c r="AN32" s="17"/>
      <c r="AO32" s="17"/>
      <c r="AP32" s="17"/>
      <c r="AQ32" s="17"/>
      <c r="AR32" s="17"/>
      <c r="AS32" s="17"/>
      <c r="AT32" s="17"/>
      <c r="AU32" s="17"/>
      <c r="AV32" s="17"/>
      <c r="AW32" s="17"/>
      <c r="AX32" s="17"/>
      <c r="AY32" s="17"/>
    </row>
    <row r="33" ht="17.45" customHeight="1">
      <c r="A33" s="17"/>
      <c r="B33" s="17"/>
      <c r="C33" s="17"/>
      <c r="D33" s="17"/>
      <c r="E33" s="17"/>
      <c r="F33" s="17"/>
      <c r="G33" s="17"/>
      <c r="H33" s="17"/>
      <c r="I33" s="17"/>
      <c r="J33" s="17"/>
      <c r="K33" s="17"/>
      <c r="L33" s="17"/>
      <c r="M33" s="36"/>
      <c r="N33" s="36"/>
      <c r="O33" s="36"/>
      <c r="P33" s="36"/>
      <c r="Q33" s="17"/>
      <c r="R33" s="36"/>
      <c r="S33" s="36"/>
      <c r="T33" s="17"/>
      <c r="U33" s="36"/>
      <c r="V33" s="36"/>
      <c r="W33" s="36"/>
      <c r="X33" s="17"/>
      <c r="Y33" s="17"/>
      <c r="Z33" s="17"/>
      <c r="AA33" s="17"/>
      <c r="AB33" s="17"/>
      <c r="AC33" s="17"/>
      <c r="AD33" s="17"/>
      <c r="AE33" s="17"/>
      <c r="AF33" s="8"/>
      <c r="AG33" s="17"/>
      <c r="AH33" s="17"/>
      <c r="AI33" s="17"/>
      <c r="AJ33" s="17"/>
      <c r="AK33" s="17"/>
      <c r="AL33" s="17"/>
      <c r="AM33" s="17"/>
      <c r="AN33" s="17"/>
      <c r="AO33" s="17"/>
      <c r="AP33" s="17"/>
      <c r="AQ33" s="17"/>
      <c r="AR33" s="17"/>
      <c r="AS33" s="17"/>
      <c r="AT33" s="17"/>
      <c r="AU33" s="17"/>
      <c r="AV33" s="17"/>
      <c r="AW33" s="17"/>
      <c r="AX33" s="17"/>
      <c r="AY33" s="17"/>
    </row>
    <row r="34" ht="17"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8"/>
      <c r="AG34" s="17"/>
      <c r="AH34" s="17"/>
      <c r="AI34" s="17"/>
      <c r="AJ34" s="17"/>
      <c r="AK34" s="17"/>
      <c r="AL34" s="17"/>
      <c r="AM34" s="17"/>
      <c r="AN34" s="17"/>
      <c r="AO34" s="17"/>
      <c r="AP34" s="17"/>
      <c r="AQ34" s="17"/>
      <c r="AR34" s="17"/>
      <c r="AS34" s="17"/>
      <c r="AT34" s="17"/>
      <c r="AU34" s="17"/>
      <c r="AV34" s="17"/>
      <c r="AW34" s="17"/>
      <c r="AX34" s="17"/>
      <c r="AY34" s="17"/>
    </row>
    <row r="35" ht="17.45" customHeight="1">
      <c r="A35" s="17"/>
      <c r="B35" s="17"/>
      <c r="C35" s="17"/>
      <c r="D35" s="17"/>
      <c r="E35" s="17"/>
      <c r="F35" s="17"/>
      <c r="G35" s="17"/>
      <c r="H35" s="17"/>
      <c r="I35" s="17"/>
      <c r="J35" s="17"/>
      <c r="K35" s="17"/>
      <c r="L35" s="17"/>
      <c r="M35" s="36"/>
      <c r="N35" s="36"/>
      <c r="O35" s="36"/>
      <c r="P35" s="36"/>
      <c r="Q35" s="17"/>
      <c r="R35" s="36"/>
      <c r="S35" s="36"/>
      <c r="T35" s="116"/>
      <c r="U35" s="36"/>
      <c r="V35" s="17"/>
      <c r="W35" s="17"/>
      <c r="X35" s="17"/>
      <c r="Y35" s="17"/>
      <c r="Z35" s="17"/>
      <c r="AA35" s="17"/>
      <c r="AB35" s="17"/>
      <c r="AC35" s="17"/>
      <c r="AD35" s="17"/>
      <c r="AE35" s="17"/>
      <c r="AF35" s="8"/>
      <c r="AG35" s="17"/>
      <c r="AH35" s="17"/>
      <c r="AI35" s="17"/>
      <c r="AJ35" s="17"/>
      <c r="AK35" s="17"/>
      <c r="AL35" s="17"/>
      <c r="AM35" s="17"/>
      <c r="AN35" s="17"/>
      <c r="AO35" s="17"/>
      <c r="AP35" s="17"/>
      <c r="AQ35" s="17"/>
      <c r="AR35" s="17"/>
      <c r="AS35" s="17"/>
      <c r="AT35" s="17"/>
      <c r="AU35" s="17"/>
      <c r="AV35" s="17"/>
      <c r="AW35" s="17"/>
      <c r="AX35" s="17"/>
      <c r="AY35" s="17"/>
    </row>
    <row r="36" ht="17.45" customHeight="1">
      <c r="A36" s="17"/>
      <c r="B36" s="17"/>
      <c r="C36" s="17"/>
      <c r="D36" s="17"/>
      <c r="E36" s="17"/>
      <c r="F36" s="17"/>
      <c r="G36" s="17"/>
      <c r="H36" s="17"/>
      <c r="I36" s="17"/>
      <c r="J36" s="17"/>
      <c r="K36" s="17"/>
      <c r="L36" s="17"/>
      <c r="M36" s="36"/>
      <c r="N36" s="36"/>
      <c r="O36" s="36"/>
      <c r="P36" s="36"/>
      <c r="Q36" s="17"/>
      <c r="R36" s="36"/>
      <c r="S36" s="36"/>
      <c r="T36" s="17"/>
      <c r="U36" s="36"/>
      <c r="V36" s="17"/>
      <c r="W36" s="17"/>
      <c r="X36" s="17"/>
      <c r="Y36" s="17"/>
      <c r="Z36" s="17"/>
      <c r="AA36" s="17"/>
      <c r="AB36" s="17"/>
      <c r="AC36" s="17"/>
      <c r="AD36" s="17"/>
      <c r="AE36" s="17"/>
      <c r="AF36" s="8"/>
      <c r="AG36" s="17"/>
      <c r="AH36" s="17"/>
      <c r="AI36" s="17"/>
      <c r="AJ36" s="17"/>
      <c r="AK36" s="17"/>
      <c r="AL36" s="17"/>
      <c r="AM36" s="17"/>
      <c r="AN36" s="17"/>
      <c r="AO36" s="17"/>
      <c r="AP36" s="17"/>
      <c r="AQ36" s="17"/>
      <c r="AR36" s="17"/>
      <c r="AS36" s="17"/>
      <c r="AT36" s="17"/>
      <c r="AU36" s="17"/>
      <c r="AV36" s="17"/>
      <c r="AW36" s="17"/>
      <c r="AX36" s="17"/>
      <c r="AY36" s="17"/>
    </row>
    <row r="37" ht="17.45" customHeight="1">
      <c r="A37" s="17"/>
      <c r="B37" s="17"/>
      <c r="C37" s="17"/>
      <c r="D37" s="17"/>
      <c r="E37" s="17"/>
      <c r="F37" s="17"/>
      <c r="G37" s="17"/>
      <c r="H37" s="17"/>
      <c r="I37" s="17"/>
      <c r="J37" s="17"/>
      <c r="K37" s="17"/>
      <c r="L37" s="17"/>
      <c r="M37" s="36"/>
      <c r="N37" s="36"/>
      <c r="O37" s="36"/>
      <c r="P37" s="36"/>
      <c r="Q37" s="17"/>
      <c r="R37" s="36"/>
      <c r="S37" s="36"/>
      <c r="T37" s="17"/>
      <c r="U37" s="36"/>
      <c r="V37" s="17"/>
      <c r="W37" s="17"/>
      <c r="X37" s="17"/>
      <c r="Y37" s="17"/>
      <c r="Z37" s="17"/>
      <c r="AA37" s="17"/>
      <c r="AB37" s="17"/>
      <c r="AC37" s="17"/>
      <c r="AD37" s="17"/>
      <c r="AE37" s="17"/>
      <c r="AF37" s="8"/>
      <c r="AG37" s="17"/>
      <c r="AH37" s="17"/>
      <c r="AI37" s="17"/>
      <c r="AJ37" s="17"/>
      <c r="AK37" s="17"/>
      <c r="AL37" s="17"/>
      <c r="AM37" s="17"/>
      <c r="AN37" s="17"/>
      <c r="AO37" s="17"/>
      <c r="AP37" s="17"/>
      <c r="AQ37" s="17"/>
      <c r="AR37" s="17"/>
      <c r="AS37" s="17"/>
      <c r="AT37" s="17"/>
      <c r="AU37" s="17"/>
      <c r="AV37" s="17"/>
      <c r="AW37" s="17"/>
      <c r="AX37" s="17"/>
      <c r="AY37" s="17"/>
    </row>
    <row r="38" ht="17.45" customHeight="1">
      <c r="A38" s="17"/>
      <c r="B38" s="17"/>
      <c r="C38" s="17"/>
      <c r="D38" s="17"/>
      <c r="E38" s="17"/>
      <c r="F38" s="17"/>
      <c r="G38" s="17"/>
      <c r="H38" s="17"/>
      <c r="I38" s="17"/>
      <c r="J38" s="17"/>
      <c r="K38" s="17"/>
      <c r="L38" s="17"/>
      <c r="M38" s="36"/>
      <c r="N38" s="36"/>
      <c r="O38" s="36"/>
      <c r="P38" s="36"/>
      <c r="Q38" s="17"/>
      <c r="R38" s="36"/>
      <c r="S38" s="36"/>
      <c r="T38" s="116"/>
      <c r="U38" s="36"/>
      <c r="V38" s="17"/>
      <c r="W38" s="17"/>
      <c r="X38" s="17"/>
      <c r="Y38" s="17"/>
      <c r="Z38" s="17"/>
      <c r="AA38" s="17"/>
      <c r="AB38" s="17"/>
      <c r="AC38" s="17"/>
      <c r="AD38" s="17"/>
      <c r="AE38" s="17"/>
      <c r="AF38" s="8"/>
      <c r="AG38" s="17"/>
      <c r="AH38" s="17"/>
      <c r="AI38" s="17"/>
      <c r="AJ38" s="17"/>
      <c r="AK38" s="17"/>
      <c r="AL38" s="17"/>
      <c r="AM38" s="17"/>
      <c r="AN38" s="17"/>
      <c r="AO38" s="17"/>
      <c r="AP38" s="17"/>
      <c r="AQ38" s="17"/>
      <c r="AR38" s="17"/>
      <c r="AS38" s="17"/>
      <c r="AT38" s="17"/>
      <c r="AU38" s="17"/>
      <c r="AV38" s="17"/>
      <c r="AW38" s="17"/>
      <c r="AX38" s="17"/>
      <c r="AY38" s="17"/>
    </row>
    <row r="39" ht="17.45" customHeight="1">
      <c r="A39" s="17"/>
      <c r="B39" s="17"/>
      <c r="C39" s="17"/>
      <c r="D39" s="17"/>
      <c r="E39" s="17"/>
      <c r="F39" s="17"/>
      <c r="G39" s="17"/>
      <c r="H39" s="17"/>
      <c r="I39" s="17"/>
      <c r="J39" s="17"/>
      <c r="K39" s="17"/>
      <c r="L39" s="17"/>
      <c r="M39" s="36"/>
      <c r="N39" s="36"/>
      <c r="O39" s="36"/>
      <c r="P39" s="36"/>
      <c r="Q39" s="17"/>
      <c r="R39" s="36"/>
      <c r="S39" s="36"/>
      <c r="T39" s="17"/>
      <c r="U39" s="36"/>
      <c r="V39" s="17"/>
      <c r="W39" s="17"/>
      <c r="X39" s="17"/>
      <c r="Y39" s="17"/>
      <c r="Z39" s="17"/>
      <c r="AA39" s="17"/>
      <c r="AB39" s="17"/>
      <c r="AC39" s="17"/>
      <c r="AD39" s="17"/>
      <c r="AE39" s="17"/>
      <c r="AF39" s="8"/>
      <c r="AG39" s="17"/>
      <c r="AH39" s="17"/>
      <c r="AI39" s="17"/>
      <c r="AJ39" s="17"/>
      <c r="AK39" s="17"/>
      <c r="AL39" s="17"/>
      <c r="AM39" s="17"/>
      <c r="AN39" s="17"/>
      <c r="AO39" s="17"/>
      <c r="AP39" s="17"/>
      <c r="AQ39" s="17"/>
      <c r="AR39" s="17"/>
      <c r="AS39" s="17"/>
      <c r="AT39" s="17"/>
      <c r="AU39" s="17"/>
      <c r="AV39" s="17"/>
      <c r="AW39" s="17"/>
      <c r="AX39" s="17"/>
      <c r="AY39" s="17"/>
    </row>
    <row r="40" ht="17.45" customHeight="1">
      <c r="A40" s="17"/>
      <c r="B40" s="17"/>
      <c r="C40" s="17"/>
      <c r="D40" s="17"/>
      <c r="E40" s="17"/>
      <c r="F40" s="17"/>
      <c r="G40" s="17"/>
      <c r="H40" s="17"/>
      <c r="I40" s="17"/>
      <c r="J40" s="17"/>
      <c r="K40" s="17"/>
      <c r="L40" s="17"/>
      <c r="M40" s="36"/>
      <c r="N40" s="36"/>
      <c r="O40" s="36"/>
      <c r="P40" s="36"/>
      <c r="Q40" s="17"/>
      <c r="R40" s="36"/>
      <c r="S40" s="36"/>
      <c r="T40" s="17"/>
      <c r="U40" s="36"/>
      <c r="V40" s="17"/>
      <c r="W40" s="17"/>
      <c r="X40" s="17"/>
      <c r="Y40" s="17"/>
      <c r="Z40" s="17"/>
      <c r="AA40" s="17"/>
      <c r="AB40" s="17"/>
      <c r="AC40" s="17"/>
      <c r="AD40" s="17"/>
      <c r="AE40" s="17"/>
      <c r="AF40" s="8"/>
      <c r="AG40" s="17"/>
      <c r="AH40" s="17"/>
      <c r="AI40" s="17"/>
      <c r="AJ40" s="17"/>
      <c r="AK40" s="17"/>
      <c r="AL40" s="17"/>
      <c r="AM40" s="17"/>
      <c r="AN40" s="17"/>
      <c r="AO40" s="17"/>
      <c r="AP40" s="17"/>
      <c r="AQ40" s="17"/>
      <c r="AR40" s="17"/>
      <c r="AS40" s="17"/>
      <c r="AT40" s="17"/>
      <c r="AU40" s="17"/>
      <c r="AV40" s="17"/>
      <c r="AW40" s="17"/>
      <c r="AX40" s="17"/>
      <c r="AY40" s="17"/>
    </row>
    <row r="41" ht="17.45" customHeight="1">
      <c r="A41" s="17"/>
      <c r="B41" s="17"/>
      <c r="C41" s="17"/>
      <c r="D41" s="17"/>
      <c r="E41" s="17"/>
      <c r="F41" s="17"/>
      <c r="G41" s="17"/>
      <c r="H41" s="17"/>
      <c r="I41" s="17"/>
      <c r="J41" s="17"/>
      <c r="K41" s="17"/>
      <c r="L41" s="17"/>
      <c r="M41" s="36"/>
      <c r="N41" s="36"/>
      <c r="O41" s="36"/>
      <c r="P41" s="36"/>
      <c r="Q41" s="17"/>
      <c r="R41" s="36"/>
      <c r="S41" s="36"/>
      <c r="T41" s="17"/>
      <c r="U41" s="36"/>
      <c r="V41" s="17"/>
      <c r="W41" s="17"/>
      <c r="X41" s="17"/>
      <c r="Y41" s="17"/>
      <c r="Z41" s="17"/>
      <c r="AA41" s="17"/>
      <c r="AB41" s="17"/>
      <c r="AC41" s="17"/>
      <c r="AD41" s="17"/>
      <c r="AE41" s="17"/>
      <c r="AF41" s="8"/>
      <c r="AG41" s="17"/>
      <c r="AH41" s="17"/>
      <c r="AI41" s="17"/>
      <c r="AJ41" s="17"/>
      <c r="AK41" s="17"/>
      <c r="AL41" s="17"/>
      <c r="AM41" s="17"/>
      <c r="AN41" s="17"/>
      <c r="AO41" s="17"/>
      <c r="AP41" s="17"/>
      <c r="AQ41" s="17"/>
      <c r="AR41" s="17"/>
      <c r="AS41" s="17"/>
      <c r="AT41" s="17"/>
      <c r="AU41" s="17"/>
      <c r="AV41" s="17"/>
      <c r="AW41" s="17"/>
      <c r="AX41" s="17"/>
      <c r="AY41" s="17"/>
    </row>
    <row r="42" ht="17" customHeight="1">
      <c r="A42" t="s" s="13">
        <v>285</v>
      </c>
      <c r="B42" s="17"/>
      <c r="C42" s="17"/>
      <c r="D42" s="17"/>
      <c r="E42" s="17"/>
      <c r="F42" s="17"/>
      <c r="G42" s="29">
        <f>SUM(G3:G41)</f>
        <v>20</v>
      </c>
      <c r="H42" s="29">
        <f>SUM(H3:H41)</f>
        <v>4</v>
      </c>
      <c r="I42" s="29">
        <f>SUM(I3:I41)</f>
        <v>2</v>
      </c>
      <c r="J42" s="29">
        <f>SUM(J3:J41)</f>
        <v>2</v>
      </c>
      <c r="K42" s="29">
        <f>SUM(K3:K41)</f>
        <v>6</v>
      </c>
      <c r="L42" s="29">
        <f>SUM(L3:L41)</f>
        <v>2</v>
      </c>
      <c r="M42" s="29">
        <f>SUM(M3:M41)</f>
        <v>4</v>
      </c>
      <c r="N42" s="29">
        <f>SUM(N3:N41)</f>
        <v>0</v>
      </c>
      <c r="O42" s="17"/>
      <c r="P42" s="29">
        <f>SUM(P3:P41)</f>
        <v>10</v>
      </c>
      <c r="Q42" s="29">
        <f>SUM(Q3:Q41)</f>
        <v>780</v>
      </c>
      <c r="R42" s="29">
        <f>SUM(R3:R41)</f>
        <v>6</v>
      </c>
      <c r="S42" s="29">
        <f>SUM(S3:S41)</f>
        <v>18</v>
      </c>
      <c r="T42" s="29">
        <f>SUM(T3:T41)</f>
        <v>4</v>
      </c>
      <c r="U42" s="29">
        <f>SUM(U3:U41)</f>
        <v>6</v>
      </c>
      <c r="V42" s="29">
        <f>SUM(V3:V41)</f>
        <v>4</v>
      </c>
      <c r="W42" s="29">
        <f>SUM(W3:W41)</f>
        <v>4</v>
      </c>
      <c r="X42" s="17"/>
      <c r="Y42" s="17"/>
      <c r="Z42" s="29">
        <f>SUM(Z3:Z41)</f>
        <v>14</v>
      </c>
      <c r="AA42" s="29">
        <f>SUM(AA3:AA41)</f>
        <v>4</v>
      </c>
      <c r="AB42" s="29">
        <f>SUM(AB3:AB41)</f>
        <v>0</v>
      </c>
      <c r="AC42" s="29">
        <f>SUM(AC3:AC41)</f>
        <v>12</v>
      </c>
      <c r="AD42" s="29">
        <f>SUM(AD3:AD41)</f>
        <v>8</v>
      </c>
      <c r="AE42" s="17"/>
      <c r="AF42" s="8"/>
      <c r="AG42" s="17"/>
      <c r="AH42" s="17"/>
      <c r="AI42" s="17"/>
      <c r="AJ42" s="17"/>
      <c r="AK42" s="17"/>
      <c r="AL42" s="17"/>
      <c r="AM42" s="17"/>
      <c r="AN42" s="17"/>
      <c r="AO42" s="17"/>
      <c r="AP42" s="17"/>
      <c r="AQ42" s="17"/>
      <c r="AR42" s="17"/>
      <c r="AS42" s="17"/>
      <c r="AT42" s="17"/>
      <c r="AU42" s="17"/>
      <c r="AV42" s="17"/>
      <c r="AW42" s="17"/>
      <c r="AX42" s="17"/>
      <c r="AY42" s="17"/>
    </row>
    <row r="43" ht="17" customHeight="1">
      <c r="A43" s="17"/>
      <c r="B43" s="17"/>
      <c r="C43" s="17"/>
      <c r="D43" s="17"/>
      <c r="E43" s="17"/>
      <c r="F43" s="17"/>
      <c r="G43" s="17"/>
      <c r="H43" s="17"/>
      <c r="I43" s="17"/>
      <c r="J43" s="17"/>
      <c r="K43" s="17"/>
      <c r="L43" s="17"/>
      <c r="M43" s="17"/>
      <c r="N43" s="17"/>
      <c r="O43" s="17"/>
      <c r="P43" s="17"/>
      <c r="Q43" s="78"/>
      <c r="R43" s="17"/>
      <c r="S43" s="17"/>
      <c r="T43" s="17"/>
      <c r="U43" s="17"/>
      <c r="V43" s="17"/>
      <c r="W43" s="17"/>
      <c r="X43" s="17"/>
      <c r="Y43" s="17"/>
      <c r="Z43" s="17"/>
      <c r="AA43" s="17"/>
      <c r="AB43" s="17"/>
      <c r="AC43" s="17"/>
      <c r="AD43" s="17"/>
      <c r="AE43" s="17"/>
      <c r="AF43" s="8"/>
      <c r="AG43" s="17"/>
      <c r="AH43" s="17"/>
      <c r="AI43" s="17"/>
      <c r="AJ43" s="17"/>
      <c r="AK43" s="17"/>
      <c r="AL43" s="17"/>
      <c r="AM43" s="17"/>
      <c r="AN43" s="17"/>
      <c r="AO43" s="17"/>
      <c r="AP43" s="17"/>
      <c r="AQ43" s="17"/>
      <c r="AR43" s="17"/>
      <c r="AS43" s="17"/>
      <c r="AT43" s="17"/>
      <c r="AU43" s="17"/>
      <c r="AV43" s="17"/>
      <c r="AW43" s="17"/>
      <c r="AX43" s="17"/>
      <c r="AY43" s="17"/>
    </row>
    <row r="44" ht="17" customHeight="1">
      <c r="A44" s="17"/>
      <c r="B44" s="17"/>
      <c r="C44" s="17"/>
      <c r="D44" s="17"/>
      <c r="E44" s="17"/>
      <c r="F44" s="17"/>
      <c r="G44" s="79"/>
      <c r="H44" s="79"/>
      <c r="I44" s="79"/>
      <c r="J44" s="17"/>
      <c r="K44" s="17"/>
      <c r="L44" s="17"/>
      <c r="M44" s="17"/>
      <c r="N44" s="17"/>
      <c r="O44" s="17"/>
      <c r="P44" s="17"/>
      <c r="Q44" s="78"/>
      <c r="R44" s="79"/>
      <c r="S44" s="79"/>
      <c r="T44" s="79"/>
      <c r="U44" s="17"/>
      <c r="V44" s="17"/>
      <c r="W44" s="17"/>
      <c r="X44" s="17"/>
      <c r="Y44" s="17"/>
      <c r="Z44" s="17"/>
      <c r="AA44" s="17"/>
      <c r="AB44" s="17"/>
      <c r="AC44" s="17"/>
      <c r="AD44" s="17"/>
      <c r="AE44" s="17"/>
      <c r="AF44" s="8"/>
      <c r="AG44" s="17"/>
      <c r="AH44" s="17"/>
      <c r="AI44" s="17"/>
      <c r="AJ44" s="17"/>
      <c r="AK44" s="17"/>
      <c r="AL44" s="17"/>
      <c r="AM44" s="17"/>
      <c r="AN44" s="17"/>
      <c r="AO44" s="17"/>
      <c r="AP44" s="17"/>
      <c r="AQ44" s="17"/>
      <c r="AR44" s="17"/>
      <c r="AS44" s="17"/>
      <c r="AT44" s="17"/>
      <c r="AU44" s="17"/>
      <c r="AV44" s="17"/>
      <c r="AW44" s="17"/>
      <c r="AX44" s="17"/>
      <c r="AY44" s="17"/>
    </row>
    <row r="45" ht="17.45" customHeight="1">
      <c r="A45" s="17"/>
      <c r="B45" s="17"/>
      <c r="C45" s="17"/>
      <c r="D45" s="17"/>
      <c r="E45" s="17"/>
      <c r="F45" s="17"/>
      <c r="G45" s="17"/>
      <c r="H45" s="17"/>
      <c r="I45" s="17"/>
      <c r="J45" s="17"/>
      <c r="K45" s="17"/>
      <c r="L45" s="17"/>
      <c r="M45" s="17"/>
      <c r="N45" s="17"/>
      <c r="O45" s="17"/>
      <c r="P45" s="17"/>
      <c r="Q45" s="17"/>
      <c r="R45" s="36"/>
      <c r="S45" s="36"/>
      <c r="T45" s="116"/>
      <c r="U45" s="17"/>
      <c r="V45" s="17"/>
      <c r="W45" s="17"/>
      <c r="X45" s="17"/>
      <c r="Y45" s="17"/>
      <c r="Z45" s="17"/>
      <c r="AA45" s="17"/>
      <c r="AB45" s="17"/>
      <c r="AC45" s="17"/>
      <c r="AD45" s="17"/>
      <c r="AE45" s="17"/>
      <c r="AF45" s="8"/>
      <c r="AG45" s="17"/>
      <c r="AH45" s="17"/>
      <c r="AI45" s="17"/>
      <c r="AJ45" s="17"/>
      <c r="AK45" s="17"/>
      <c r="AL45" s="17"/>
      <c r="AM45" s="17"/>
      <c r="AN45" s="17"/>
      <c r="AO45" s="17"/>
      <c r="AP45" s="17"/>
      <c r="AQ45" s="17"/>
      <c r="AR45" s="17"/>
      <c r="AS45" s="17"/>
      <c r="AT45" s="17"/>
      <c r="AU45" s="17"/>
      <c r="AV45" s="17"/>
      <c r="AW45" s="17"/>
      <c r="AX45" s="17"/>
      <c r="AY45" s="17"/>
    </row>
    <row r="46" ht="17" customHeight="1">
      <c r="A46" s="17"/>
      <c r="B46" s="17"/>
      <c r="C46" s="17"/>
      <c r="D46" s="17"/>
      <c r="E46" s="17"/>
      <c r="F46" s="17"/>
      <c r="G46" s="17"/>
      <c r="H46" s="17"/>
      <c r="I46" s="17"/>
      <c r="J46" s="17"/>
      <c r="K46" s="17"/>
      <c r="L46" s="17"/>
      <c r="M46" s="17"/>
      <c r="N46" s="17"/>
      <c r="O46" s="17"/>
      <c r="P46" s="17"/>
      <c r="Q46" s="17"/>
      <c r="R46" s="79"/>
      <c r="S46" s="79"/>
      <c r="T46" s="79"/>
      <c r="U46" s="17"/>
      <c r="V46" s="17"/>
      <c r="W46" s="17"/>
      <c r="X46" s="17"/>
      <c r="Y46" s="17"/>
      <c r="Z46" s="17"/>
      <c r="AA46" s="17"/>
      <c r="AB46" s="17"/>
      <c r="AC46" s="83"/>
      <c r="AD46" s="83"/>
      <c r="AE46" s="17"/>
      <c r="AF46" s="8"/>
      <c r="AG46" s="17"/>
      <c r="AH46" s="17"/>
      <c r="AI46" s="17"/>
      <c r="AJ46" s="17"/>
      <c r="AK46" s="17"/>
      <c r="AL46" s="17"/>
      <c r="AM46" s="17"/>
      <c r="AN46" s="17"/>
      <c r="AO46" s="17"/>
      <c r="AP46" s="17"/>
      <c r="AQ46" s="17"/>
      <c r="AR46" s="17"/>
      <c r="AS46" s="17"/>
      <c r="AT46" s="17"/>
      <c r="AU46" s="17"/>
      <c r="AV46" s="17"/>
      <c r="AW46" s="17"/>
      <c r="AX46" s="17"/>
      <c r="AY46" s="17"/>
    </row>
    <row r="47" ht="17.45" customHeight="1">
      <c r="A47" s="17"/>
      <c r="B47" s="17"/>
      <c r="C47" s="17"/>
      <c r="D47" s="17"/>
      <c r="E47" s="17"/>
      <c r="F47" s="17"/>
      <c r="G47" s="17"/>
      <c r="H47" s="17"/>
      <c r="I47" s="17"/>
      <c r="J47" s="17"/>
      <c r="K47" s="17"/>
      <c r="L47" s="17"/>
      <c r="M47" s="17"/>
      <c r="N47" s="17"/>
      <c r="O47" s="17"/>
      <c r="P47" s="17"/>
      <c r="Q47" s="17"/>
      <c r="R47" s="36"/>
      <c r="S47" s="17"/>
      <c r="T47" s="17"/>
      <c r="U47" s="17"/>
      <c r="V47" s="17"/>
      <c r="W47" s="17"/>
      <c r="X47" s="17"/>
      <c r="Y47" s="17"/>
      <c r="Z47" s="17"/>
      <c r="AA47" s="17"/>
      <c r="AB47" s="17"/>
      <c r="AC47" s="17"/>
      <c r="AD47" s="17"/>
      <c r="AE47" s="17"/>
      <c r="AF47" s="8"/>
      <c r="AG47" s="17"/>
      <c r="AH47" s="17"/>
      <c r="AI47" s="17"/>
      <c r="AJ47" s="17"/>
      <c r="AK47" s="17"/>
      <c r="AL47" s="17"/>
      <c r="AM47" s="17"/>
      <c r="AN47" s="17"/>
      <c r="AO47" s="17"/>
      <c r="AP47" s="17"/>
      <c r="AQ47" s="17"/>
      <c r="AR47" s="17"/>
      <c r="AS47" s="17"/>
      <c r="AT47" s="17"/>
      <c r="AU47" s="17"/>
      <c r="AV47" s="17"/>
      <c r="AW47" s="17"/>
      <c r="AX47" s="17"/>
      <c r="AY47"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AY134"/>
  <sheetViews>
    <sheetView workbookViewId="0" showGridLines="0" defaultGridColor="1"/>
  </sheetViews>
  <sheetFormatPr defaultColWidth="10.8333" defaultRowHeight="16" customHeight="1" outlineLevelRow="0" outlineLevelCol="0"/>
  <cols>
    <col min="1" max="1" width="10.8516" style="282" customWidth="1"/>
    <col min="2" max="2" width="16" style="282" customWidth="1"/>
    <col min="3" max="3" width="10.8516" style="282" customWidth="1"/>
    <col min="4" max="4" width="17.8516" style="282" customWidth="1"/>
    <col min="5" max="5" width="20.1719" style="282" customWidth="1"/>
    <col min="6" max="6" width="22.8516" style="282" customWidth="1"/>
    <col min="7" max="10" width="10.8516" style="282" customWidth="1"/>
    <col min="11" max="11" width="19.1719" style="282" customWidth="1"/>
    <col min="12" max="12" width="7.85156" style="282" customWidth="1"/>
    <col min="13" max="13" width="10" style="282" customWidth="1"/>
    <col min="14" max="14" width="8.67188" style="282" customWidth="1"/>
    <col min="15" max="15" width="10.8516" style="282" customWidth="1"/>
    <col min="16" max="16" width="11.5" style="282" customWidth="1"/>
    <col min="17" max="17" width="11.6719" style="282" customWidth="1"/>
    <col min="18" max="18" width="12.3516" style="282" customWidth="1"/>
    <col min="19" max="19" width="10.8516" style="282" customWidth="1"/>
    <col min="20" max="20" width="15.1719" style="282" customWidth="1"/>
    <col min="21" max="23" width="10.8516" style="282" customWidth="1"/>
    <col min="24" max="24" width="31" style="282" customWidth="1"/>
    <col min="25" max="25" width="19.8516" style="282" customWidth="1"/>
    <col min="26" max="26" width="12.1719" style="282" customWidth="1"/>
    <col min="27" max="30" width="16.5" style="282" customWidth="1"/>
    <col min="31" max="31" width="14.6719" style="282" customWidth="1"/>
    <col min="32" max="32" width="10.8516" style="282" customWidth="1"/>
    <col min="33" max="33" width="11" style="282" customWidth="1"/>
    <col min="34" max="34" width="11.1719" style="282" customWidth="1"/>
    <col min="35" max="35" width="7.85156" style="282" customWidth="1"/>
    <col min="36" max="37" width="10.8516" style="282" customWidth="1"/>
    <col min="38" max="38" width="7.35156" style="282" customWidth="1"/>
    <col min="39" max="39" width="10.8516" style="282" customWidth="1"/>
    <col min="40" max="40" width="9.17188" style="282" customWidth="1"/>
    <col min="41" max="41" width="10.8516" style="282" customWidth="1"/>
    <col min="42" max="42" width="12.5" style="282" customWidth="1"/>
    <col min="43" max="43" width="13" style="282" customWidth="1"/>
    <col min="44" max="51" width="10.8516" style="282" customWidth="1"/>
    <col min="52" max="16384" width="10.8516" style="282" customWidth="1"/>
  </cols>
  <sheetData>
    <row r="1" ht="47" customHeight="1">
      <c r="A1" t="s" s="12">
        <v>6</v>
      </c>
      <c r="B1" t="s" s="12">
        <v>7</v>
      </c>
      <c r="C1" t="s" s="13">
        <v>8</v>
      </c>
      <c r="D1" t="s" s="14">
        <v>9</v>
      </c>
      <c r="E1" t="s" s="13">
        <v>10</v>
      </c>
      <c r="F1" t="s" s="14">
        <v>11</v>
      </c>
      <c r="G1" t="s" s="14">
        <v>12</v>
      </c>
      <c r="H1" s="283"/>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13">
        <v>109</v>
      </c>
      <c r="AF1" s="15"/>
      <c r="AG1" s="36"/>
      <c r="AH1" s="36"/>
      <c r="AI1" s="15"/>
      <c r="AJ1" s="15"/>
      <c r="AK1" s="17"/>
      <c r="AL1" s="15"/>
      <c r="AM1" s="15"/>
      <c r="AN1" s="15"/>
      <c r="AO1" s="17"/>
      <c r="AP1" s="36"/>
      <c r="AQ1" s="36"/>
      <c r="AR1" s="36"/>
      <c r="AS1" s="36"/>
      <c r="AT1" s="36"/>
      <c r="AU1" s="36"/>
      <c r="AV1" s="36"/>
      <c r="AW1" s="15"/>
      <c r="AX1" s="17"/>
      <c r="AY1" s="17"/>
    </row>
    <row r="2" ht="47" customHeight="1">
      <c r="A2" t="s" s="18">
        <v>119</v>
      </c>
      <c r="B2" t="s" s="19">
        <v>120</v>
      </c>
      <c r="C2" s="20"/>
      <c r="D2" s="15"/>
      <c r="E2" s="17"/>
      <c r="F2" s="15"/>
      <c r="G2" t="s" s="14">
        <v>24</v>
      </c>
      <c r="H2" t="s" s="14">
        <v>25</v>
      </c>
      <c r="I2" t="s" s="14">
        <v>26</v>
      </c>
      <c r="J2" t="s" s="21">
        <v>27</v>
      </c>
      <c r="K2" t="s" s="125">
        <v>28</v>
      </c>
      <c r="L2" t="s" s="23">
        <v>1392</v>
      </c>
      <c r="M2" t="s" s="14">
        <v>30</v>
      </c>
      <c r="N2" t="s" s="14">
        <v>31</v>
      </c>
      <c r="O2" t="s" s="14">
        <v>32</v>
      </c>
      <c r="P2" t="s" s="21">
        <v>33</v>
      </c>
      <c r="Q2" t="s" s="24">
        <v>121</v>
      </c>
      <c r="R2" t="s" s="125">
        <v>122</v>
      </c>
      <c r="S2" t="s" s="125">
        <v>123</v>
      </c>
      <c r="T2" t="s" s="284">
        <v>124</v>
      </c>
      <c r="U2" s="15"/>
      <c r="V2" s="15"/>
      <c r="W2" s="15"/>
      <c r="X2" s="15"/>
      <c r="Y2" s="15"/>
      <c r="Z2" s="15"/>
      <c r="AA2" t="s" s="14">
        <v>35</v>
      </c>
      <c r="AB2" t="s" s="14">
        <v>125</v>
      </c>
      <c r="AC2" t="s" s="14">
        <v>37</v>
      </c>
      <c r="AD2" t="s" s="13">
        <v>32</v>
      </c>
      <c r="AE2" s="17"/>
      <c r="AF2" s="8"/>
      <c r="AG2" s="17"/>
      <c r="AH2" s="17"/>
      <c r="AI2" s="17"/>
      <c r="AJ2" s="17"/>
      <c r="AK2" s="17"/>
      <c r="AL2" s="17"/>
      <c r="AM2" s="17"/>
      <c r="AN2" s="17"/>
      <c r="AO2" s="17"/>
      <c r="AP2" s="17"/>
      <c r="AQ2" s="17"/>
      <c r="AR2" s="17"/>
      <c r="AS2" s="17"/>
      <c r="AT2" s="17"/>
      <c r="AU2" s="17"/>
      <c r="AV2" s="17"/>
      <c r="AW2" s="17"/>
      <c r="AX2" s="17"/>
      <c r="AY2" s="17"/>
    </row>
    <row r="3" ht="19" customHeight="1">
      <c r="A3" t="s" s="30">
        <v>1393</v>
      </c>
      <c r="B3" s="31"/>
      <c r="C3" s="29">
        <v>8</v>
      </c>
      <c r="D3" t="s" s="13">
        <v>1394</v>
      </c>
      <c r="E3" t="s" s="13">
        <v>628</v>
      </c>
      <c r="F3" t="s" s="14">
        <v>1395</v>
      </c>
      <c r="G3" s="32">
        <v>1</v>
      </c>
      <c r="H3" s="283"/>
      <c r="I3" s="15"/>
      <c r="J3" s="15"/>
      <c r="K3" s="33">
        <v>1</v>
      </c>
      <c r="L3" s="15"/>
      <c r="M3" s="15"/>
      <c r="N3" s="15"/>
      <c r="O3" s="15"/>
      <c r="P3" s="15"/>
      <c r="Q3" s="33">
        <v>53</v>
      </c>
      <c r="R3" s="148"/>
      <c r="S3" s="33">
        <v>1</v>
      </c>
      <c r="T3" s="15"/>
      <c r="U3" s="15"/>
      <c r="V3" s="15"/>
      <c r="W3" s="15"/>
      <c r="X3" t="s" s="14">
        <v>171</v>
      </c>
      <c r="Y3" s="15"/>
      <c r="Z3" s="15"/>
      <c r="AA3" s="15"/>
      <c r="AB3" s="15"/>
      <c r="AC3" s="32">
        <v>1</v>
      </c>
      <c r="AD3" s="15"/>
      <c r="AE3" s="17"/>
      <c r="AF3" s="8"/>
      <c r="AG3" s="17"/>
      <c r="AH3" s="17"/>
      <c r="AI3" s="17"/>
      <c r="AJ3" s="17"/>
      <c r="AK3" s="17"/>
      <c r="AL3" s="17"/>
      <c r="AM3" s="17"/>
      <c r="AN3" s="17"/>
      <c r="AO3" s="17"/>
      <c r="AP3" s="17"/>
      <c r="AQ3" s="17"/>
      <c r="AR3" s="17"/>
      <c r="AS3" s="17"/>
      <c r="AT3" s="17"/>
      <c r="AU3" s="17"/>
      <c r="AV3" s="17"/>
      <c r="AW3" s="17"/>
      <c r="AX3" s="17"/>
      <c r="AY3" s="17"/>
    </row>
    <row r="4" ht="17" customHeight="1">
      <c r="A4" t="s" s="13">
        <v>1393</v>
      </c>
      <c r="B4" s="17"/>
      <c r="C4" s="29">
        <v>8</v>
      </c>
      <c r="D4" t="s" s="13">
        <v>1394</v>
      </c>
      <c r="E4" t="s" s="13">
        <v>1396</v>
      </c>
      <c r="F4" t="s" s="13">
        <v>1231</v>
      </c>
      <c r="G4" s="35">
        <v>1</v>
      </c>
      <c r="H4" s="78"/>
      <c r="I4" s="17"/>
      <c r="J4" s="17"/>
      <c r="K4" s="17"/>
      <c r="L4" s="17"/>
      <c r="M4" s="36"/>
      <c r="N4" s="36"/>
      <c r="O4" t="s" s="47">
        <v>1397</v>
      </c>
      <c r="P4" s="36"/>
      <c r="Q4" s="29">
        <v>79</v>
      </c>
      <c r="R4" s="36"/>
      <c r="S4" s="35">
        <v>1</v>
      </c>
      <c r="T4" s="17"/>
      <c r="U4" s="17"/>
      <c r="V4" s="17"/>
      <c r="W4" s="17"/>
      <c r="X4" t="s" s="13">
        <v>171</v>
      </c>
      <c r="Y4" s="17"/>
      <c r="Z4" s="17"/>
      <c r="AA4" s="17"/>
      <c r="AB4" s="17"/>
      <c r="AC4" s="17"/>
      <c r="AD4" t="s" s="13">
        <v>400</v>
      </c>
      <c r="AE4" s="17"/>
      <c r="AF4" s="8"/>
      <c r="AG4" s="17"/>
      <c r="AH4" s="17"/>
      <c r="AI4" s="17"/>
      <c r="AJ4" s="17"/>
      <c r="AK4" s="17"/>
      <c r="AL4" s="17"/>
      <c r="AM4" s="17"/>
      <c r="AN4" s="17"/>
      <c r="AO4" s="17"/>
      <c r="AP4" s="17"/>
      <c r="AQ4" s="17"/>
      <c r="AR4" s="17"/>
      <c r="AS4" s="17"/>
      <c r="AT4" s="17"/>
      <c r="AU4" s="17"/>
      <c r="AV4" s="17"/>
      <c r="AW4" s="17"/>
      <c r="AX4" s="17"/>
      <c r="AY4" s="17"/>
    </row>
    <row r="5" ht="17.45" customHeight="1">
      <c r="A5" t="s" s="13">
        <v>1393</v>
      </c>
      <c r="B5" s="17"/>
      <c r="C5" s="29">
        <v>8</v>
      </c>
      <c r="D5" t="s" s="13">
        <v>1394</v>
      </c>
      <c r="E5" t="s" s="13">
        <v>1398</v>
      </c>
      <c r="F5" t="s" s="13">
        <v>645</v>
      </c>
      <c r="G5" s="35">
        <v>1</v>
      </c>
      <c r="H5" s="78"/>
      <c r="I5" s="17"/>
      <c r="J5" s="17"/>
      <c r="K5" s="17"/>
      <c r="L5" s="17"/>
      <c r="M5" s="36"/>
      <c r="N5" s="36"/>
      <c r="O5" s="36"/>
      <c r="P5" s="35">
        <v>1</v>
      </c>
      <c r="Q5" s="35">
        <v>24</v>
      </c>
      <c r="R5" s="36"/>
      <c r="S5" s="35">
        <v>1</v>
      </c>
      <c r="T5" s="36"/>
      <c r="U5" s="17"/>
      <c r="V5" s="17"/>
      <c r="W5" s="17"/>
      <c r="X5" t="s" s="13">
        <v>138</v>
      </c>
      <c r="Y5" s="17"/>
      <c r="Z5" s="29">
        <v>1</v>
      </c>
      <c r="AA5" s="17"/>
      <c r="AB5" s="17"/>
      <c r="AC5" s="17"/>
      <c r="AD5" t="s" s="13">
        <v>400</v>
      </c>
      <c r="AE5" s="17"/>
      <c r="AF5" s="8"/>
      <c r="AG5" s="17"/>
      <c r="AH5" s="17"/>
      <c r="AI5" s="17"/>
      <c r="AJ5" s="17"/>
      <c r="AK5" s="17"/>
      <c r="AL5" s="17"/>
      <c r="AM5" s="17"/>
      <c r="AN5" s="17"/>
      <c r="AO5" s="17"/>
      <c r="AP5" s="17"/>
      <c r="AQ5" s="17"/>
      <c r="AR5" s="17"/>
      <c r="AS5" s="17"/>
      <c r="AT5" s="17"/>
      <c r="AU5" s="17"/>
      <c r="AV5" s="17"/>
      <c r="AW5" s="17"/>
      <c r="AX5" s="17"/>
      <c r="AY5" s="17"/>
    </row>
    <row r="6" ht="17.45" customHeight="1">
      <c r="A6" t="s" s="13">
        <v>1399</v>
      </c>
      <c r="B6" s="17"/>
      <c r="C6" s="29">
        <v>6</v>
      </c>
      <c r="D6" t="s" s="13">
        <v>1394</v>
      </c>
      <c r="E6" t="s" s="13">
        <v>223</v>
      </c>
      <c r="F6" t="s" s="13">
        <v>811</v>
      </c>
      <c r="G6" s="36"/>
      <c r="H6" s="78">
        <v>1</v>
      </c>
      <c r="I6" s="17"/>
      <c r="J6" s="17"/>
      <c r="K6" s="29">
        <v>1</v>
      </c>
      <c r="L6" s="17"/>
      <c r="M6" s="36"/>
      <c r="N6" s="36"/>
      <c r="O6" s="36"/>
      <c r="P6" s="36"/>
      <c r="Q6" s="35">
        <v>79</v>
      </c>
      <c r="R6" s="36"/>
      <c r="S6" s="36"/>
      <c r="T6" s="35">
        <v>1</v>
      </c>
      <c r="U6" s="17"/>
      <c r="V6" s="17"/>
      <c r="W6" s="17"/>
      <c r="X6" t="s" s="13">
        <v>1400</v>
      </c>
      <c r="Y6" s="17"/>
      <c r="Z6" s="17"/>
      <c r="AA6" s="17"/>
      <c r="AB6" s="17"/>
      <c r="AC6" s="29">
        <v>1</v>
      </c>
      <c r="AD6" s="17"/>
      <c r="AE6" s="17"/>
      <c r="AF6" s="8"/>
      <c r="AG6" s="17"/>
      <c r="AH6" s="17"/>
      <c r="AI6" s="17"/>
      <c r="AJ6" s="17"/>
      <c r="AK6" s="17"/>
      <c r="AL6" s="17"/>
      <c r="AM6" s="17"/>
      <c r="AN6" s="17"/>
      <c r="AO6" s="17"/>
      <c r="AP6" s="17"/>
      <c r="AQ6" s="17"/>
      <c r="AR6" s="17"/>
      <c r="AS6" s="17"/>
      <c r="AT6" s="17"/>
      <c r="AU6" s="17"/>
      <c r="AV6" s="17"/>
      <c r="AW6" s="17"/>
      <c r="AX6" s="17"/>
      <c r="AY6" s="17"/>
    </row>
    <row r="7" ht="17.45" customHeight="1">
      <c r="A7" t="s" s="13">
        <v>1399</v>
      </c>
      <c r="B7" s="17"/>
      <c r="C7" s="29">
        <v>6</v>
      </c>
      <c r="D7" t="s" s="13">
        <v>1394</v>
      </c>
      <c r="E7" t="s" s="13">
        <v>223</v>
      </c>
      <c r="F7" t="s" s="13">
        <v>1401</v>
      </c>
      <c r="G7" s="35">
        <v>1</v>
      </c>
      <c r="H7" s="78"/>
      <c r="I7" s="17"/>
      <c r="J7" s="17"/>
      <c r="K7" s="17"/>
      <c r="L7" s="17"/>
      <c r="M7" s="35">
        <v>1</v>
      </c>
      <c r="N7" s="36"/>
      <c r="O7" s="36"/>
      <c r="P7" s="36"/>
      <c r="Q7" s="35">
        <v>53</v>
      </c>
      <c r="R7" s="36"/>
      <c r="S7" s="35">
        <v>1</v>
      </c>
      <c r="T7" s="36"/>
      <c r="U7" s="17"/>
      <c r="V7" s="17"/>
      <c r="W7" s="17"/>
      <c r="X7" s="17"/>
      <c r="Y7" s="17"/>
      <c r="Z7" s="17"/>
      <c r="AA7" s="17"/>
      <c r="AB7" s="17"/>
      <c r="AC7" s="29">
        <v>1</v>
      </c>
      <c r="AD7" s="17"/>
      <c r="AE7" s="17"/>
      <c r="AF7" s="8"/>
      <c r="AG7" s="17"/>
      <c r="AH7" s="17"/>
      <c r="AI7" s="17"/>
      <c r="AJ7" s="17"/>
      <c r="AK7" s="17"/>
      <c r="AL7" s="17"/>
      <c r="AM7" s="17"/>
      <c r="AN7" s="17"/>
      <c r="AO7" s="17"/>
      <c r="AP7" s="17"/>
      <c r="AQ7" s="17"/>
      <c r="AR7" s="17"/>
      <c r="AS7" s="17"/>
      <c r="AT7" s="17"/>
      <c r="AU7" s="17"/>
      <c r="AV7" s="17"/>
      <c r="AW7" s="17"/>
      <c r="AX7" s="17"/>
      <c r="AY7" s="17"/>
    </row>
    <row r="8" ht="17.45" customHeight="1">
      <c r="A8" t="s" s="13">
        <v>1399</v>
      </c>
      <c r="B8" s="17"/>
      <c r="C8" s="29">
        <v>6</v>
      </c>
      <c r="D8" t="s" s="13">
        <v>1394</v>
      </c>
      <c r="E8" t="s" s="13">
        <v>223</v>
      </c>
      <c r="F8" t="s" s="13">
        <v>1402</v>
      </c>
      <c r="G8" s="36"/>
      <c r="H8" s="78">
        <v>1</v>
      </c>
      <c r="I8" s="17"/>
      <c r="J8" s="17"/>
      <c r="K8" s="17"/>
      <c r="L8" s="17"/>
      <c r="M8" s="36"/>
      <c r="N8" s="35">
        <v>1</v>
      </c>
      <c r="O8" s="36"/>
      <c r="P8" s="36"/>
      <c r="Q8" s="35">
        <v>49</v>
      </c>
      <c r="R8" s="36"/>
      <c r="S8" s="35">
        <v>1</v>
      </c>
      <c r="T8" s="36"/>
      <c r="U8" s="17"/>
      <c r="V8" s="17"/>
      <c r="W8" s="17"/>
      <c r="X8" t="s" s="13">
        <v>1403</v>
      </c>
      <c r="Y8" t="s" s="13">
        <v>1404</v>
      </c>
      <c r="Z8" s="29">
        <v>1</v>
      </c>
      <c r="AA8" s="17"/>
      <c r="AB8" s="17"/>
      <c r="AC8" s="29">
        <v>1</v>
      </c>
      <c r="AD8" s="17"/>
      <c r="AE8" s="17"/>
      <c r="AF8" s="8"/>
      <c r="AG8" s="17"/>
      <c r="AH8" s="17"/>
      <c r="AI8" s="17"/>
      <c r="AJ8" s="17"/>
      <c r="AK8" s="17"/>
      <c r="AL8" s="17"/>
      <c r="AM8" s="17"/>
      <c r="AN8" s="17"/>
      <c r="AO8" s="17"/>
      <c r="AP8" s="17"/>
      <c r="AQ8" s="17"/>
      <c r="AR8" s="17"/>
      <c r="AS8" s="17"/>
      <c r="AT8" s="17"/>
      <c r="AU8" s="17"/>
      <c r="AV8" s="17"/>
      <c r="AW8" s="17"/>
      <c r="AX8" s="17"/>
      <c r="AY8" s="17"/>
    </row>
    <row r="9" ht="17.45" customHeight="1">
      <c r="A9" t="s" s="13">
        <v>1399</v>
      </c>
      <c r="B9" s="17"/>
      <c r="C9" s="29">
        <v>6</v>
      </c>
      <c r="D9" t="s" s="13">
        <v>1394</v>
      </c>
      <c r="E9" t="s" s="13">
        <v>223</v>
      </c>
      <c r="F9" t="s" s="13">
        <v>1405</v>
      </c>
      <c r="G9" s="35">
        <v>1</v>
      </c>
      <c r="H9" s="78"/>
      <c r="I9" s="17"/>
      <c r="J9" s="17"/>
      <c r="K9" s="17"/>
      <c r="L9" s="17"/>
      <c r="M9" s="35">
        <v>1</v>
      </c>
      <c r="N9" s="36"/>
      <c r="O9" s="36"/>
      <c r="P9" s="17"/>
      <c r="Q9" s="35">
        <v>45</v>
      </c>
      <c r="R9" s="36"/>
      <c r="S9" s="35">
        <v>1</v>
      </c>
      <c r="T9" s="17"/>
      <c r="U9" s="17"/>
      <c r="V9" s="17"/>
      <c r="W9" s="17"/>
      <c r="X9" s="17"/>
      <c r="Y9" s="17"/>
      <c r="Z9" s="17"/>
      <c r="AA9" s="17"/>
      <c r="AB9" s="17"/>
      <c r="AC9" s="29">
        <v>1</v>
      </c>
      <c r="AD9" s="17"/>
      <c r="AE9" s="17"/>
      <c r="AF9" s="8"/>
      <c r="AG9" s="17"/>
      <c r="AH9" s="17"/>
      <c r="AI9" s="17"/>
      <c r="AJ9" s="17"/>
      <c r="AK9" s="17"/>
      <c r="AL9" s="17"/>
      <c r="AM9" s="17"/>
      <c r="AN9" s="17"/>
      <c r="AO9" s="17"/>
      <c r="AP9" s="17"/>
      <c r="AQ9" s="17"/>
      <c r="AR9" s="17"/>
      <c r="AS9" s="17"/>
      <c r="AT9" s="17"/>
      <c r="AU9" s="17"/>
      <c r="AV9" s="17"/>
      <c r="AW9" s="17"/>
      <c r="AX9" s="17"/>
      <c r="AY9" s="17"/>
    </row>
    <row r="10" ht="17" customHeight="1">
      <c r="A10" t="s" s="13">
        <v>1399</v>
      </c>
      <c r="B10" s="17"/>
      <c r="C10" s="29">
        <v>6</v>
      </c>
      <c r="D10" t="s" s="13">
        <v>1394</v>
      </c>
      <c r="E10" t="s" s="13">
        <v>1406</v>
      </c>
      <c r="F10" t="s" s="13">
        <v>1407</v>
      </c>
      <c r="G10" s="35">
        <v>1</v>
      </c>
      <c r="H10" s="78"/>
      <c r="I10" s="17"/>
      <c r="J10" s="17"/>
      <c r="K10" s="17"/>
      <c r="L10" s="17"/>
      <c r="M10" s="36"/>
      <c r="N10" s="36"/>
      <c r="O10" s="36"/>
      <c r="P10" s="29">
        <v>1</v>
      </c>
      <c r="Q10" s="35">
        <v>34</v>
      </c>
      <c r="R10" s="36"/>
      <c r="S10" s="35">
        <v>1</v>
      </c>
      <c r="T10" s="36"/>
      <c r="U10" s="17"/>
      <c r="V10" s="17"/>
      <c r="W10" s="17"/>
      <c r="X10" t="s" s="47">
        <v>1408</v>
      </c>
      <c r="Y10" t="s" s="13">
        <v>1409</v>
      </c>
      <c r="Z10" s="29">
        <v>1</v>
      </c>
      <c r="AA10" s="17"/>
      <c r="AB10" s="29">
        <v>1</v>
      </c>
      <c r="AC10" s="17"/>
      <c r="AD10" t="s" s="13">
        <v>1410</v>
      </c>
      <c r="AE10" s="17"/>
      <c r="AF10" s="8"/>
      <c r="AG10" s="17"/>
      <c r="AH10" s="17"/>
      <c r="AI10" s="17"/>
      <c r="AJ10" s="17"/>
      <c r="AK10" s="17"/>
      <c r="AL10" s="17"/>
      <c r="AM10" s="17"/>
      <c r="AN10" s="17"/>
      <c r="AO10" s="17"/>
      <c r="AP10" s="17"/>
      <c r="AQ10" s="17"/>
      <c r="AR10" s="17"/>
      <c r="AS10" s="17"/>
      <c r="AT10" s="17"/>
      <c r="AU10" s="17"/>
      <c r="AV10" s="17"/>
      <c r="AW10" s="17"/>
      <c r="AX10" s="17"/>
      <c r="AY10" s="17"/>
    </row>
    <row r="11" ht="17" customHeight="1">
      <c r="A11" t="s" s="13">
        <v>1399</v>
      </c>
      <c r="B11" s="17"/>
      <c r="C11" s="29">
        <v>6</v>
      </c>
      <c r="D11" t="s" s="13">
        <v>1394</v>
      </c>
      <c r="E11" t="s" s="13">
        <v>1052</v>
      </c>
      <c r="F11" t="s" s="13">
        <v>1411</v>
      </c>
      <c r="G11" s="35">
        <v>1</v>
      </c>
      <c r="H11" s="78"/>
      <c r="I11" s="17"/>
      <c r="J11" s="17"/>
      <c r="K11" s="17"/>
      <c r="L11" s="17"/>
      <c r="M11" s="36"/>
      <c r="N11" s="36"/>
      <c r="O11" s="36"/>
      <c r="P11" s="29">
        <v>1</v>
      </c>
      <c r="Q11" s="35">
        <v>20</v>
      </c>
      <c r="R11" s="36"/>
      <c r="S11" s="35">
        <v>1</v>
      </c>
      <c r="T11" s="36"/>
      <c r="U11" s="17"/>
      <c r="V11" s="17"/>
      <c r="W11" s="17"/>
      <c r="X11" t="s" s="47">
        <v>191</v>
      </c>
      <c r="Y11" s="17"/>
      <c r="Z11" s="29">
        <v>1</v>
      </c>
      <c r="AA11" s="17"/>
      <c r="AB11" s="29">
        <v>1</v>
      </c>
      <c r="AC11" s="29">
        <v>1</v>
      </c>
      <c r="AD11" s="17"/>
      <c r="AE11" s="17"/>
      <c r="AF11" s="8"/>
      <c r="AG11" s="17"/>
      <c r="AH11" s="17"/>
      <c r="AI11" s="17"/>
      <c r="AJ11" s="17"/>
      <c r="AK11" s="17"/>
      <c r="AL11" s="17"/>
      <c r="AM11" s="17"/>
      <c r="AN11" s="17"/>
      <c r="AO11" s="17"/>
      <c r="AP11" s="17"/>
      <c r="AQ11" s="17"/>
      <c r="AR11" s="17"/>
      <c r="AS11" s="17"/>
      <c r="AT11" s="17"/>
      <c r="AU11" s="17"/>
      <c r="AV11" s="17"/>
      <c r="AW11" s="17"/>
      <c r="AX11" s="17"/>
      <c r="AY11" s="17"/>
    </row>
    <row r="12" ht="17" customHeight="1">
      <c r="A12" t="s" s="13">
        <v>1399</v>
      </c>
      <c r="B12" s="17"/>
      <c r="C12" s="29">
        <v>6</v>
      </c>
      <c r="D12" t="s" s="13">
        <v>1394</v>
      </c>
      <c r="E12" t="s" s="13">
        <v>1412</v>
      </c>
      <c r="F12" t="s" s="13">
        <v>1413</v>
      </c>
      <c r="G12" s="35">
        <v>1</v>
      </c>
      <c r="H12" s="17"/>
      <c r="I12" s="17"/>
      <c r="J12" s="17"/>
      <c r="K12" s="17"/>
      <c r="L12" s="17"/>
      <c r="M12" s="17"/>
      <c r="N12" s="17"/>
      <c r="O12" s="17"/>
      <c r="P12" s="29">
        <v>1</v>
      </c>
      <c r="Q12" s="35">
        <v>23</v>
      </c>
      <c r="R12" s="17"/>
      <c r="S12" s="35">
        <v>1</v>
      </c>
      <c r="T12" s="17"/>
      <c r="U12" s="17"/>
      <c r="V12" s="17"/>
      <c r="W12" s="17"/>
      <c r="X12" t="s" s="47">
        <v>1414</v>
      </c>
      <c r="Y12" s="17"/>
      <c r="Z12" s="29">
        <v>1</v>
      </c>
      <c r="AA12" s="17"/>
      <c r="AB12" s="29">
        <v>1</v>
      </c>
      <c r="AC12" s="17"/>
      <c r="AD12" t="s" s="13">
        <v>1415</v>
      </c>
      <c r="AE12" s="17"/>
      <c r="AF12" s="8"/>
      <c r="AG12" s="17"/>
      <c r="AH12" s="17"/>
      <c r="AI12" s="17"/>
      <c r="AJ12" s="17"/>
      <c r="AK12" s="17"/>
      <c r="AL12" s="17"/>
      <c r="AM12" s="17"/>
      <c r="AN12" s="17"/>
      <c r="AO12" s="17"/>
      <c r="AP12" s="17"/>
      <c r="AQ12" s="17"/>
      <c r="AR12" s="17"/>
      <c r="AS12" s="17"/>
      <c r="AT12" s="17"/>
      <c r="AU12" s="17"/>
      <c r="AV12" s="17"/>
      <c r="AW12" s="17"/>
      <c r="AX12" s="17"/>
      <c r="AY12" s="17"/>
    </row>
    <row r="13" ht="34" customHeight="1">
      <c r="A13" t="s" s="13">
        <v>1416</v>
      </c>
      <c r="B13" s="17"/>
      <c r="C13" s="29">
        <v>4</v>
      </c>
      <c r="D13" t="s" s="13">
        <v>1394</v>
      </c>
      <c r="E13" t="s" s="13">
        <v>1417</v>
      </c>
      <c r="F13" t="s" s="13">
        <v>596</v>
      </c>
      <c r="G13" s="36"/>
      <c r="H13" s="78">
        <v>1</v>
      </c>
      <c r="I13" s="17"/>
      <c r="J13" s="17"/>
      <c r="K13" s="29">
        <v>1</v>
      </c>
      <c r="L13" s="17"/>
      <c r="M13" s="17"/>
      <c r="N13" s="17"/>
      <c r="O13" s="17"/>
      <c r="P13" s="17"/>
      <c r="Q13" s="35">
        <v>59</v>
      </c>
      <c r="R13" s="29">
        <v>1</v>
      </c>
      <c r="S13" s="17"/>
      <c r="T13" s="17"/>
      <c r="U13" s="17"/>
      <c r="V13" s="17"/>
      <c r="W13" s="17"/>
      <c r="X13" t="s" s="47">
        <v>1418</v>
      </c>
      <c r="Y13" s="17"/>
      <c r="Z13" s="29">
        <v>1</v>
      </c>
      <c r="AA13" s="29">
        <v>1</v>
      </c>
      <c r="AB13" s="17"/>
      <c r="AC13" s="17"/>
      <c r="AD13" t="s" s="13">
        <v>400</v>
      </c>
      <c r="AE13" s="17"/>
      <c r="AF13" s="8"/>
      <c r="AG13" s="17"/>
      <c r="AH13" s="17"/>
      <c r="AI13" s="17"/>
      <c r="AJ13" s="17"/>
      <c r="AK13" s="17"/>
      <c r="AL13" s="17"/>
      <c r="AM13" s="17"/>
      <c r="AN13" s="17"/>
      <c r="AO13" s="17"/>
      <c r="AP13" s="17"/>
      <c r="AQ13" s="17"/>
      <c r="AR13" s="17"/>
      <c r="AS13" s="17"/>
      <c r="AT13" s="17"/>
      <c r="AU13" s="17"/>
      <c r="AV13" s="17"/>
      <c r="AW13" s="17"/>
      <c r="AX13" s="17"/>
      <c r="AY13" s="17"/>
    </row>
    <row r="14" ht="17" customHeight="1">
      <c r="A14" t="s" s="13">
        <v>1416</v>
      </c>
      <c r="B14" s="17"/>
      <c r="C14" s="29">
        <v>4</v>
      </c>
      <c r="D14" t="s" s="13">
        <v>1394</v>
      </c>
      <c r="E14" t="s" s="13">
        <v>1417</v>
      </c>
      <c r="F14" t="s" s="13">
        <v>1419</v>
      </c>
      <c r="G14" s="35">
        <v>1</v>
      </c>
      <c r="H14" s="78"/>
      <c r="I14" s="17"/>
      <c r="J14" s="17"/>
      <c r="K14" s="17"/>
      <c r="L14" s="29">
        <v>1</v>
      </c>
      <c r="M14" s="36"/>
      <c r="N14" s="36"/>
      <c r="O14" s="36"/>
      <c r="P14" s="35">
        <v>1</v>
      </c>
      <c r="Q14" s="35">
        <v>58</v>
      </c>
      <c r="R14" s="35">
        <v>1</v>
      </c>
      <c r="S14" s="36"/>
      <c r="T14" s="36"/>
      <c r="U14" s="29">
        <v>35</v>
      </c>
      <c r="V14" s="35">
        <v>5</v>
      </c>
      <c r="W14" s="35">
        <v>4</v>
      </c>
      <c r="X14" t="s" s="47">
        <v>530</v>
      </c>
      <c r="Y14" s="17"/>
      <c r="Z14" s="35">
        <v>1</v>
      </c>
      <c r="AA14" s="17"/>
      <c r="AB14" s="17"/>
      <c r="AC14" s="17"/>
      <c r="AD14" t="s" s="13">
        <v>400</v>
      </c>
      <c r="AE14" s="17"/>
      <c r="AF14" s="8"/>
      <c r="AG14" s="17"/>
      <c r="AH14" s="17"/>
      <c r="AI14" s="17"/>
      <c r="AJ14" s="17"/>
      <c r="AK14" s="17"/>
      <c r="AL14" s="17"/>
      <c r="AM14" s="17"/>
      <c r="AN14" s="17"/>
      <c r="AO14" s="17"/>
      <c r="AP14" s="17"/>
      <c r="AQ14" s="17"/>
      <c r="AR14" s="17"/>
      <c r="AS14" s="17"/>
      <c r="AT14" s="17"/>
      <c r="AU14" s="17"/>
      <c r="AV14" s="17"/>
      <c r="AW14" s="17"/>
      <c r="AX14" s="17"/>
      <c r="AY14" s="17"/>
    </row>
    <row r="15" ht="17" customHeight="1">
      <c r="A15" t="s" s="13">
        <v>1416</v>
      </c>
      <c r="B15" s="17"/>
      <c r="C15" s="29">
        <v>4</v>
      </c>
      <c r="D15" t="s" s="13">
        <v>1394</v>
      </c>
      <c r="E15" t="s" s="285">
        <v>1420</v>
      </c>
      <c r="F15" t="s" s="47">
        <v>241</v>
      </c>
      <c r="G15" s="35">
        <v>1</v>
      </c>
      <c r="H15" s="286"/>
      <c r="I15" s="146"/>
      <c r="J15" s="146"/>
      <c r="K15" s="287"/>
      <c r="L15" s="146"/>
      <c r="M15" s="146"/>
      <c r="N15" s="146"/>
      <c r="O15" s="146"/>
      <c r="P15" s="146"/>
      <c r="Q15" s="288">
        <v>30</v>
      </c>
      <c r="R15" s="287"/>
      <c r="S15" s="289">
        <v>1</v>
      </c>
      <c r="T15" s="146"/>
      <c r="U15" s="146"/>
      <c r="V15" s="146"/>
      <c r="W15" s="146"/>
      <c r="X15" s="146"/>
      <c r="Y15" s="146"/>
      <c r="Z15" s="146"/>
      <c r="AA15" s="146"/>
      <c r="AB15" s="146"/>
      <c r="AC15" s="146"/>
      <c r="AD15" t="s" s="121">
        <v>400</v>
      </c>
      <c r="AE15" s="17"/>
      <c r="AF15" s="8"/>
      <c r="AG15" s="17"/>
      <c r="AH15" s="17"/>
      <c r="AI15" s="17"/>
      <c r="AJ15" s="17"/>
      <c r="AK15" s="17"/>
      <c r="AL15" s="17"/>
      <c r="AM15" s="17"/>
      <c r="AN15" s="17"/>
      <c r="AO15" s="17"/>
      <c r="AP15" s="17"/>
      <c r="AQ15" s="17"/>
      <c r="AR15" s="17"/>
      <c r="AS15" s="17"/>
      <c r="AT15" s="17"/>
      <c r="AU15" s="17"/>
      <c r="AV15" s="17"/>
      <c r="AW15" s="17"/>
      <c r="AX15" s="17"/>
      <c r="AY15" s="17"/>
    </row>
    <row r="16" ht="28" customHeight="1">
      <c r="A16" t="s" s="13">
        <v>1421</v>
      </c>
      <c r="B16" s="290"/>
      <c r="C16" s="291">
        <v>2</v>
      </c>
      <c r="D16" t="s" s="13">
        <v>1394</v>
      </c>
      <c r="E16" t="s" s="285">
        <v>1422</v>
      </c>
      <c r="F16" t="s" s="47">
        <v>1423</v>
      </c>
      <c r="G16" s="35">
        <v>1</v>
      </c>
      <c r="H16" s="286"/>
      <c r="I16" s="146"/>
      <c r="J16" s="292"/>
      <c r="K16" s="293">
        <v>1</v>
      </c>
      <c r="L16" s="294"/>
      <c r="M16" s="146"/>
      <c r="N16" s="146"/>
      <c r="O16" s="146"/>
      <c r="P16" s="292"/>
      <c r="Q16" s="295">
        <v>49</v>
      </c>
      <c r="R16" s="296"/>
      <c r="S16" s="297">
        <v>1</v>
      </c>
      <c r="T16" s="298">
        <v>1</v>
      </c>
      <c r="U16" s="146"/>
      <c r="V16" s="289">
        <v>2</v>
      </c>
      <c r="W16" s="289">
        <v>2</v>
      </c>
      <c r="X16" t="s" s="121">
        <v>456</v>
      </c>
      <c r="Y16" s="146"/>
      <c r="Z16" s="146"/>
      <c r="AA16" s="146"/>
      <c r="AB16" s="146"/>
      <c r="AC16" s="289">
        <v>1</v>
      </c>
      <c r="AD16" s="299"/>
      <c r="AE16" s="17"/>
      <c r="AF16" s="8"/>
      <c r="AG16" s="17"/>
      <c r="AH16" s="17"/>
      <c r="AI16" s="17"/>
      <c r="AJ16" s="17"/>
      <c r="AK16" s="17"/>
      <c r="AL16" s="17"/>
      <c r="AM16" s="17"/>
      <c r="AN16" s="17"/>
      <c r="AO16" s="17"/>
      <c r="AP16" s="17"/>
      <c r="AQ16" s="17"/>
      <c r="AR16" s="17"/>
      <c r="AS16" s="17"/>
      <c r="AT16" s="17"/>
      <c r="AU16" s="17"/>
      <c r="AV16" s="17"/>
      <c r="AW16" s="17"/>
      <c r="AX16" s="17"/>
      <c r="AY16" s="17"/>
    </row>
    <row r="17" ht="17" customHeight="1">
      <c r="A17" t="s" s="13">
        <v>1421</v>
      </c>
      <c r="B17" s="290"/>
      <c r="C17" s="291">
        <v>2</v>
      </c>
      <c r="D17" t="s" s="13">
        <v>1394</v>
      </c>
      <c r="E17" t="s" s="285">
        <v>1422</v>
      </c>
      <c r="F17" t="s" s="13">
        <v>1424</v>
      </c>
      <c r="G17" s="36"/>
      <c r="H17" s="78">
        <v>1</v>
      </c>
      <c r="I17" s="17"/>
      <c r="J17" s="17"/>
      <c r="K17" s="31"/>
      <c r="L17" s="17"/>
      <c r="M17" s="36"/>
      <c r="N17" s="35">
        <v>1</v>
      </c>
      <c r="O17" s="36"/>
      <c r="P17" s="36"/>
      <c r="Q17" s="46">
        <v>22</v>
      </c>
      <c r="R17" s="58"/>
      <c r="S17" s="289">
        <v>1</v>
      </c>
      <c r="T17" s="36"/>
      <c r="U17" s="36"/>
      <c r="V17" s="36"/>
      <c r="W17" s="36"/>
      <c r="X17" t="s" s="47">
        <v>1425</v>
      </c>
      <c r="Y17" s="17"/>
      <c r="Z17" s="17"/>
      <c r="AA17" s="17"/>
      <c r="AB17" s="17"/>
      <c r="AC17" s="29">
        <v>1</v>
      </c>
      <c r="AD17" s="17"/>
      <c r="AE17" s="17"/>
      <c r="AF17" s="8"/>
      <c r="AG17" s="17"/>
      <c r="AH17" s="17"/>
      <c r="AI17" s="17"/>
      <c r="AJ17" s="17"/>
      <c r="AK17" s="17"/>
      <c r="AL17" s="17"/>
      <c r="AM17" s="17"/>
      <c r="AN17" s="17"/>
      <c r="AO17" s="17"/>
      <c r="AP17" s="17"/>
      <c r="AQ17" s="17"/>
      <c r="AR17" s="17"/>
      <c r="AS17" s="17"/>
      <c r="AT17" s="17"/>
      <c r="AU17" s="17"/>
      <c r="AV17" s="17"/>
      <c r="AW17" s="17"/>
      <c r="AX17" s="17"/>
      <c r="AY17" s="17"/>
    </row>
    <row r="18" ht="17" customHeight="1">
      <c r="A18" t="s" s="13">
        <v>1421</v>
      </c>
      <c r="B18" s="290"/>
      <c r="C18" s="291">
        <v>2</v>
      </c>
      <c r="D18" t="s" s="13">
        <v>1394</v>
      </c>
      <c r="E18" t="s" s="285">
        <v>1422</v>
      </c>
      <c r="F18" t="s" s="13">
        <v>1426</v>
      </c>
      <c r="G18" s="36"/>
      <c r="H18" s="78"/>
      <c r="I18" s="17"/>
      <c r="J18" s="29">
        <v>1</v>
      </c>
      <c r="K18" s="17"/>
      <c r="L18" s="17"/>
      <c r="M18" s="36"/>
      <c r="N18" s="35">
        <v>1</v>
      </c>
      <c r="O18" s="36"/>
      <c r="P18" s="36"/>
      <c r="Q18" s="35">
        <v>16</v>
      </c>
      <c r="R18" s="36"/>
      <c r="S18" s="36"/>
      <c r="T18" s="36"/>
      <c r="U18" s="36"/>
      <c r="V18" s="36"/>
      <c r="W18" s="36"/>
      <c r="X18" t="s" s="47">
        <v>1105</v>
      </c>
      <c r="Y18" s="17"/>
      <c r="Z18" s="17"/>
      <c r="AA18" s="17"/>
      <c r="AB18" s="17"/>
      <c r="AC18" s="29">
        <v>1</v>
      </c>
      <c r="AD18" s="17"/>
      <c r="AE18" s="17"/>
      <c r="AF18" s="8"/>
      <c r="AG18" s="17"/>
      <c r="AH18" s="17"/>
      <c r="AI18" s="17"/>
      <c r="AJ18" s="17"/>
      <c r="AK18" s="17"/>
      <c r="AL18" s="17"/>
      <c r="AM18" s="17"/>
      <c r="AN18" s="17"/>
      <c r="AO18" s="17"/>
      <c r="AP18" s="17"/>
      <c r="AQ18" s="17"/>
      <c r="AR18" s="17"/>
      <c r="AS18" s="17"/>
      <c r="AT18" s="17"/>
      <c r="AU18" s="17"/>
      <c r="AV18" s="17"/>
      <c r="AW18" s="17"/>
      <c r="AX18" s="17"/>
      <c r="AY18" s="17"/>
    </row>
    <row r="19" ht="17" customHeight="1">
      <c r="A19" t="s" s="13">
        <v>1421</v>
      </c>
      <c r="B19" s="290"/>
      <c r="C19" s="291">
        <v>2</v>
      </c>
      <c r="D19" t="s" s="13">
        <v>1394</v>
      </c>
      <c r="E19" t="s" s="13">
        <v>1427</v>
      </c>
      <c r="F19" t="s" s="13">
        <v>1428</v>
      </c>
      <c r="G19" s="35">
        <v>1</v>
      </c>
      <c r="H19" s="78"/>
      <c r="I19" s="17"/>
      <c r="J19" s="17"/>
      <c r="K19" s="17"/>
      <c r="L19" s="36"/>
      <c r="M19" s="36"/>
      <c r="N19" s="36"/>
      <c r="O19" s="36"/>
      <c r="P19" s="35">
        <v>1</v>
      </c>
      <c r="Q19" s="35">
        <v>21</v>
      </c>
      <c r="R19" s="36"/>
      <c r="S19" s="35">
        <v>1</v>
      </c>
      <c r="T19" s="117"/>
      <c r="U19" s="36"/>
      <c r="V19" s="36"/>
      <c r="W19" s="36"/>
      <c r="X19" t="s" s="47">
        <v>322</v>
      </c>
      <c r="Y19" s="17"/>
      <c r="Z19" s="29">
        <v>1</v>
      </c>
      <c r="AA19" s="17"/>
      <c r="AB19" s="17"/>
      <c r="AC19" s="17"/>
      <c r="AD19" t="s" s="13">
        <v>1429</v>
      </c>
      <c r="AE19" s="17"/>
      <c r="AF19" s="8"/>
      <c r="AG19" s="17"/>
      <c r="AH19" s="17"/>
      <c r="AI19" s="17"/>
      <c r="AJ19" s="17"/>
      <c r="AK19" s="17"/>
      <c r="AL19" s="17"/>
      <c r="AM19" s="17"/>
      <c r="AN19" s="17"/>
      <c r="AO19" s="17"/>
      <c r="AP19" s="17"/>
      <c r="AQ19" s="17"/>
      <c r="AR19" s="17"/>
      <c r="AS19" s="17"/>
      <c r="AT19" s="17"/>
      <c r="AU19" s="17"/>
      <c r="AV19" s="17"/>
      <c r="AW19" s="17"/>
      <c r="AX19" s="17"/>
      <c r="AY19" s="17"/>
    </row>
    <row r="20" ht="17" customHeight="1">
      <c r="A20" t="s" s="13">
        <v>1430</v>
      </c>
      <c r="B20" s="17"/>
      <c r="C20" s="29">
        <v>9</v>
      </c>
      <c r="D20" t="s" s="13">
        <v>1394</v>
      </c>
      <c r="E20" t="s" s="13">
        <v>1431</v>
      </c>
      <c r="F20" t="s" s="13">
        <v>1432</v>
      </c>
      <c r="G20" s="35">
        <v>1</v>
      </c>
      <c r="H20" s="78"/>
      <c r="I20" s="17"/>
      <c r="J20" s="17"/>
      <c r="K20" s="29">
        <v>1</v>
      </c>
      <c r="L20" s="36"/>
      <c r="M20" s="36"/>
      <c r="N20" s="36"/>
      <c r="O20" s="36"/>
      <c r="P20" s="36"/>
      <c r="Q20" s="35">
        <v>62</v>
      </c>
      <c r="R20" s="36"/>
      <c r="S20" s="35">
        <v>1</v>
      </c>
      <c r="T20" s="36"/>
      <c r="U20" s="36"/>
      <c r="V20" s="36"/>
      <c r="W20" s="36"/>
      <c r="X20" t="s" s="47">
        <v>1433</v>
      </c>
      <c r="Y20" s="17"/>
      <c r="Z20" s="17"/>
      <c r="AA20" s="17"/>
      <c r="AB20" s="17"/>
      <c r="AC20" s="29">
        <v>1</v>
      </c>
      <c r="AD20" s="17"/>
      <c r="AE20" s="17"/>
      <c r="AF20" s="8"/>
      <c r="AG20" s="17"/>
      <c r="AH20" s="17"/>
      <c r="AI20" s="17"/>
      <c r="AJ20" s="17"/>
      <c r="AK20" s="17"/>
      <c r="AL20" s="17"/>
      <c r="AM20" s="17"/>
      <c r="AN20" s="17"/>
      <c r="AO20" s="17"/>
      <c r="AP20" s="17"/>
      <c r="AQ20" s="17"/>
      <c r="AR20" s="17"/>
      <c r="AS20" s="17"/>
      <c r="AT20" s="17"/>
      <c r="AU20" s="17"/>
      <c r="AV20" s="17"/>
      <c r="AW20" s="17"/>
      <c r="AX20" s="17"/>
      <c r="AY20" s="17"/>
    </row>
    <row r="21" ht="17" customHeight="1">
      <c r="A21" t="s" s="13">
        <v>1430</v>
      </c>
      <c r="B21" s="17"/>
      <c r="C21" s="29">
        <v>9</v>
      </c>
      <c r="D21" t="s" s="13">
        <v>1394</v>
      </c>
      <c r="E21" t="s" s="13">
        <v>1434</v>
      </c>
      <c r="F21" t="s" s="13">
        <v>1435</v>
      </c>
      <c r="G21" s="35">
        <v>1</v>
      </c>
      <c r="H21" s="78"/>
      <c r="I21" s="17"/>
      <c r="J21" s="17"/>
      <c r="K21" s="17"/>
      <c r="L21" s="17"/>
      <c r="M21" s="36"/>
      <c r="N21" s="36"/>
      <c r="O21" t="s" s="47">
        <v>441</v>
      </c>
      <c r="P21" s="36"/>
      <c r="Q21" s="35">
        <v>53</v>
      </c>
      <c r="R21" s="36"/>
      <c r="S21" s="35">
        <v>1</v>
      </c>
      <c r="T21" s="17"/>
      <c r="U21" s="17"/>
      <c r="V21" s="17"/>
      <c r="W21" s="17"/>
      <c r="X21" t="s" s="47">
        <v>1436</v>
      </c>
      <c r="Y21" s="17"/>
      <c r="Z21" s="17"/>
      <c r="AA21" s="17"/>
      <c r="AB21" s="17"/>
      <c r="AC21" s="17"/>
      <c r="AD21" t="s" s="13">
        <v>1437</v>
      </c>
      <c r="AE21" s="17"/>
      <c r="AF21" s="8"/>
      <c r="AG21" s="17"/>
      <c r="AH21" s="17"/>
      <c r="AI21" s="17"/>
      <c r="AJ21" s="17"/>
      <c r="AK21" s="17"/>
      <c r="AL21" s="17"/>
      <c r="AM21" s="17"/>
      <c r="AN21" s="17"/>
      <c r="AO21" s="17"/>
      <c r="AP21" s="17"/>
      <c r="AQ21" s="17"/>
      <c r="AR21" s="17"/>
      <c r="AS21" s="17"/>
      <c r="AT21" s="17"/>
      <c r="AU21" s="17"/>
      <c r="AV21" s="17"/>
      <c r="AW21" s="17"/>
      <c r="AX21" s="17"/>
      <c r="AY21" s="17"/>
    </row>
    <row r="22" ht="17" customHeight="1">
      <c r="A22" t="s" s="13">
        <v>1430</v>
      </c>
      <c r="B22" s="17"/>
      <c r="C22" s="29">
        <v>9</v>
      </c>
      <c r="D22" t="s" s="13">
        <v>1394</v>
      </c>
      <c r="E22" t="s" s="13">
        <v>1438</v>
      </c>
      <c r="F22" t="s" s="13">
        <v>1435</v>
      </c>
      <c r="G22" s="35">
        <v>1</v>
      </c>
      <c r="H22" s="78"/>
      <c r="I22" s="17"/>
      <c r="J22" s="17"/>
      <c r="K22" s="17"/>
      <c r="L22" s="17"/>
      <c r="M22" s="36"/>
      <c r="N22" s="36"/>
      <c r="O22" t="s" s="47">
        <v>1439</v>
      </c>
      <c r="P22" s="36"/>
      <c r="Q22" s="35">
        <v>28</v>
      </c>
      <c r="R22" s="36"/>
      <c r="S22" s="35">
        <v>1</v>
      </c>
      <c r="T22" s="17"/>
      <c r="U22" s="17"/>
      <c r="V22" s="17"/>
      <c r="W22" s="17"/>
      <c r="X22" t="s" s="47">
        <v>1436</v>
      </c>
      <c r="Y22" s="17"/>
      <c r="Z22" s="17"/>
      <c r="AA22" s="17"/>
      <c r="AB22" s="17"/>
      <c r="AC22" s="17"/>
      <c r="AD22" t="s" s="13">
        <v>1440</v>
      </c>
      <c r="AE22" s="17"/>
      <c r="AF22" s="8"/>
      <c r="AG22" s="17"/>
      <c r="AH22" s="17"/>
      <c r="AI22" s="17"/>
      <c r="AJ22" s="17"/>
      <c r="AK22" s="17"/>
      <c r="AL22" s="17"/>
      <c r="AM22" s="17"/>
      <c r="AN22" s="17"/>
      <c r="AO22" s="17"/>
      <c r="AP22" s="17"/>
      <c r="AQ22" s="17"/>
      <c r="AR22" s="17"/>
      <c r="AS22" s="17"/>
      <c r="AT22" s="17"/>
      <c r="AU22" s="17"/>
      <c r="AV22" s="17"/>
      <c r="AW22" s="17"/>
      <c r="AX22" s="17"/>
      <c r="AY22" s="17"/>
    </row>
    <row r="23" ht="17" customHeight="1">
      <c r="A23" t="s" s="13">
        <v>1430</v>
      </c>
      <c r="B23" s="17"/>
      <c r="C23" s="29">
        <v>9</v>
      </c>
      <c r="D23" t="s" s="13">
        <v>1394</v>
      </c>
      <c r="E23" t="s" s="13">
        <v>1441</v>
      </c>
      <c r="F23" t="s" s="13">
        <v>1442</v>
      </c>
      <c r="G23" s="35">
        <v>1</v>
      </c>
      <c r="H23" s="78"/>
      <c r="I23" s="17"/>
      <c r="J23" s="17"/>
      <c r="K23" s="17"/>
      <c r="L23" s="17"/>
      <c r="M23" s="36"/>
      <c r="N23" s="36"/>
      <c r="O23" s="36"/>
      <c r="P23" s="35">
        <v>1</v>
      </c>
      <c r="Q23" s="35">
        <v>25</v>
      </c>
      <c r="R23" s="36"/>
      <c r="S23" s="35">
        <v>1</v>
      </c>
      <c r="T23" s="17"/>
      <c r="U23" s="17"/>
      <c r="V23" s="17"/>
      <c r="W23" s="17"/>
      <c r="X23" t="s" s="47">
        <v>1233</v>
      </c>
      <c r="Y23" s="17"/>
      <c r="Z23" s="29">
        <v>1</v>
      </c>
      <c r="AA23" s="17"/>
      <c r="AB23" s="17"/>
      <c r="AC23" s="29">
        <v>1</v>
      </c>
      <c r="AD23" s="17"/>
      <c r="AE23" s="17"/>
      <c r="AF23" s="8"/>
      <c r="AG23" s="17"/>
      <c r="AH23" s="17"/>
      <c r="AI23" s="17"/>
      <c r="AJ23" s="17"/>
      <c r="AK23" s="17"/>
      <c r="AL23" s="17"/>
      <c r="AM23" s="17"/>
      <c r="AN23" s="17"/>
      <c r="AO23" s="17"/>
      <c r="AP23" s="17"/>
      <c r="AQ23" s="17"/>
      <c r="AR23" s="17"/>
      <c r="AS23" s="17"/>
      <c r="AT23" s="17"/>
      <c r="AU23" s="17"/>
      <c r="AV23" s="17"/>
      <c r="AW23" s="17"/>
      <c r="AX23" s="17"/>
      <c r="AY23" s="17"/>
    </row>
    <row r="24" ht="17" customHeight="1">
      <c r="A24" t="s" s="13">
        <v>1443</v>
      </c>
      <c r="B24" s="17"/>
      <c r="C24" s="29">
        <v>11</v>
      </c>
      <c r="D24" t="s" s="13">
        <v>1394</v>
      </c>
      <c r="E24" t="s" s="13">
        <v>1444</v>
      </c>
      <c r="F24" t="s" s="13">
        <v>1445</v>
      </c>
      <c r="G24" s="36"/>
      <c r="H24" s="78">
        <v>1</v>
      </c>
      <c r="I24" s="17"/>
      <c r="J24" s="17"/>
      <c r="K24" s="29">
        <v>1</v>
      </c>
      <c r="L24" s="17"/>
      <c r="M24" s="36"/>
      <c r="N24" s="36"/>
      <c r="O24" s="36"/>
      <c r="P24" s="36"/>
      <c r="Q24" s="35">
        <v>59</v>
      </c>
      <c r="R24" s="35">
        <v>1</v>
      </c>
      <c r="S24" s="36"/>
      <c r="T24" s="17"/>
      <c r="U24" s="17"/>
      <c r="V24" s="17"/>
      <c r="W24" s="17"/>
      <c r="X24" t="s" s="47">
        <v>1446</v>
      </c>
      <c r="Y24" s="17"/>
      <c r="Z24" s="29">
        <v>1</v>
      </c>
      <c r="AA24" s="17"/>
      <c r="AB24" s="17"/>
      <c r="AC24" s="17"/>
      <c r="AD24" t="s" s="13">
        <v>1415</v>
      </c>
      <c r="AE24" s="17"/>
      <c r="AF24" s="8"/>
      <c r="AG24" s="17"/>
      <c r="AH24" s="17"/>
      <c r="AI24" s="17"/>
      <c r="AJ24" s="17"/>
      <c r="AK24" s="17"/>
      <c r="AL24" s="17"/>
      <c r="AM24" s="17"/>
      <c r="AN24" s="17"/>
      <c r="AO24" s="17"/>
      <c r="AP24" s="17"/>
      <c r="AQ24" s="17"/>
      <c r="AR24" s="17"/>
      <c r="AS24" s="17"/>
      <c r="AT24" s="17"/>
      <c r="AU24" s="17"/>
      <c r="AV24" s="17"/>
      <c r="AW24" s="17"/>
      <c r="AX24" s="17"/>
      <c r="AY24" s="17"/>
    </row>
    <row r="25" ht="17.45" customHeight="1">
      <c r="A25" t="s" s="13">
        <v>1443</v>
      </c>
      <c r="B25" s="17"/>
      <c r="C25" s="29">
        <v>11</v>
      </c>
      <c r="D25" t="s" s="13">
        <v>1394</v>
      </c>
      <c r="E25" t="s" s="13">
        <v>1444</v>
      </c>
      <c r="F25" t="s" s="13">
        <v>1447</v>
      </c>
      <c r="G25" s="35">
        <v>1</v>
      </c>
      <c r="H25" s="78"/>
      <c r="I25" s="17"/>
      <c r="J25" s="17"/>
      <c r="K25" s="17"/>
      <c r="L25" s="29">
        <v>1</v>
      </c>
      <c r="M25" s="36"/>
      <c r="N25" s="36"/>
      <c r="O25" s="36"/>
      <c r="P25" s="36"/>
      <c r="Q25" s="35">
        <v>42</v>
      </c>
      <c r="R25" s="35">
        <v>1</v>
      </c>
      <c r="S25" s="36"/>
      <c r="T25" s="17"/>
      <c r="U25" s="29">
        <v>4</v>
      </c>
      <c r="V25" s="17"/>
      <c r="W25" s="17"/>
      <c r="X25" s="17"/>
      <c r="Y25" s="17"/>
      <c r="Z25" s="17"/>
      <c r="AA25" s="17"/>
      <c r="AB25" s="17"/>
      <c r="AC25" s="29">
        <v>1</v>
      </c>
      <c r="AD25" s="17"/>
      <c r="AE25" s="17"/>
      <c r="AF25" s="8"/>
      <c r="AG25" s="17"/>
      <c r="AH25" s="17"/>
      <c r="AI25" s="17"/>
      <c r="AJ25" s="17"/>
      <c r="AK25" s="17"/>
      <c r="AL25" s="17"/>
      <c r="AM25" s="17"/>
      <c r="AN25" s="17"/>
      <c r="AO25" s="17"/>
      <c r="AP25" s="17"/>
      <c r="AQ25" s="17"/>
      <c r="AR25" s="17"/>
      <c r="AS25" s="17"/>
      <c r="AT25" s="17"/>
      <c r="AU25" s="17"/>
      <c r="AV25" s="17"/>
      <c r="AW25" s="17"/>
      <c r="AX25" s="17"/>
      <c r="AY25" s="17"/>
    </row>
    <row r="26" ht="17" customHeight="1">
      <c r="A26" t="s" s="13">
        <v>1443</v>
      </c>
      <c r="B26" s="17"/>
      <c r="C26" s="29">
        <v>11</v>
      </c>
      <c r="D26" t="s" s="13">
        <v>1394</v>
      </c>
      <c r="E26" t="s" s="13">
        <v>1448</v>
      </c>
      <c r="F26" t="s" s="13">
        <v>1449</v>
      </c>
      <c r="G26" s="35">
        <v>1</v>
      </c>
      <c r="H26" s="17"/>
      <c r="I26" s="17"/>
      <c r="J26" s="17"/>
      <c r="K26" s="17"/>
      <c r="L26" s="17"/>
      <c r="M26" s="17"/>
      <c r="N26" s="17"/>
      <c r="O26" t="s" s="13">
        <v>175</v>
      </c>
      <c r="P26" s="17"/>
      <c r="Q26" s="35">
        <v>46</v>
      </c>
      <c r="R26" s="17"/>
      <c r="S26" s="35">
        <v>1</v>
      </c>
      <c r="T26" s="17"/>
      <c r="U26" s="17"/>
      <c r="V26" s="17"/>
      <c r="W26" s="17"/>
      <c r="X26" t="s" s="47">
        <v>1450</v>
      </c>
      <c r="Y26" s="17"/>
      <c r="Z26" s="17"/>
      <c r="AA26" s="17"/>
      <c r="AB26" s="17"/>
      <c r="AC26" s="29">
        <v>1</v>
      </c>
      <c r="AD26" s="17"/>
      <c r="AE26" s="17"/>
      <c r="AF26" s="8"/>
      <c r="AG26" s="17"/>
      <c r="AH26" s="17"/>
      <c r="AI26" s="17"/>
      <c r="AJ26" s="17"/>
      <c r="AK26" s="17"/>
      <c r="AL26" s="17"/>
      <c r="AM26" s="17"/>
      <c r="AN26" s="17"/>
      <c r="AO26" s="17"/>
      <c r="AP26" s="17"/>
      <c r="AQ26" s="17"/>
      <c r="AR26" s="17"/>
      <c r="AS26" s="17"/>
      <c r="AT26" s="17"/>
      <c r="AU26" s="17"/>
      <c r="AV26" s="17"/>
      <c r="AW26" s="17"/>
      <c r="AX26" s="17"/>
      <c r="AY26" s="17"/>
    </row>
    <row r="27" ht="17" customHeight="1">
      <c r="A27" t="s" s="13">
        <v>1443</v>
      </c>
      <c r="B27" s="17"/>
      <c r="C27" s="29">
        <v>11</v>
      </c>
      <c r="D27" t="s" s="13">
        <v>1394</v>
      </c>
      <c r="E27" t="s" s="13">
        <v>1451</v>
      </c>
      <c r="F27" t="s" s="13">
        <v>1452</v>
      </c>
      <c r="G27" s="35">
        <v>1</v>
      </c>
      <c r="H27" s="17"/>
      <c r="I27" s="17"/>
      <c r="J27" s="17"/>
      <c r="K27" s="17"/>
      <c r="L27" s="17"/>
      <c r="M27" s="17"/>
      <c r="N27" s="17"/>
      <c r="O27" s="17"/>
      <c r="P27" s="29">
        <v>1</v>
      </c>
      <c r="Q27" s="35">
        <v>41</v>
      </c>
      <c r="R27" s="17"/>
      <c r="S27" s="35">
        <v>1</v>
      </c>
      <c r="T27" s="17"/>
      <c r="U27" s="17"/>
      <c r="V27" s="17"/>
      <c r="W27" s="17"/>
      <c r="X27" t="s" s="47">
        <v>1453</v>
      </c>
      <c r="Y27" s="17"/>
      <c r="Z27" s="29">
        <v>1</v>
      </c>
      <c r="AA27" s="17"/>
      <c r="AB27" s="17"/>
      <c r="AC27" s="29">
        <v>1</v>
      </c>
      <c r="AD27" s="17"/>
      <c r="AE27" s="17"/>
      <c r="AF27" s="8"/>
      <c r="AG27" s="17"/>
      <c r="AH27" s="17"/>
      <c r="AI27" s="17"/>
      <c r="AJ27" s="17"/>
      <c r="AK27" s="17"/>
      <c r="AL27" s="17"/>
      <c r="AM27" s="17"/>
      <c r="AN27" s="17"/>
      <c r="AO27" s="17"/>
      <c r="AP27" s="17"/>
      <c r="AQ27" s="17"/>
      <c r="AR27" s="17"/>
      <c r="AS27" s="17"/>
      <c r="AT27" s="17"/>
      <c r="AU27" s="17"/>
      <c r="AV27" s="17"/>
      <c r="AW27" s="17"/>
      <c r="AX27" s="17"/>
      <c r="AY27" s="17"/>
    </row>
    <row r="28" ht="17" customHeight="1">
      <c r="A28" t="s" s="13">
        <v>1443</v>
      </c>
      <c r="B28" s="17"/>
      <c r="C28" s="29">
        <v>11</v>
      </c>
      <c r="D28" t="s" s="13">
        <v>1394</v>
      </c>
      <c r="E28" t="s" s="13">
        <v>1454</v>
      </c>
      <c r="F28" t="s" s="13">
        <v>204</v>
      </c>
      <c r="G28" s="35">
        <v>1</v>
      </c>
      <c r="H28" s="78"/>
      <c r="I28" s="17"/>
      <c r="J28" s="17"/>
      <c r="K28" s="17"/>
      <c r="L28" s="17"/>
      <c r="M28" s="36"/>
      <c r="N28" s="36"/>
      <c r="O28" s="36"/>
      <c r="P28" s="35">
        <v>1</v>
      </c>
      <c r="Q28" s="35">
        <v>37</v>
      </c>
      <c r="R28" s="36"/>
      <c r="S28" s="35">
        <v>1</v>
      </c>
      <c r="T28" s="17"/>
      <c r="U28" s="17"/>
      <c r="V28" s="17"/>
      <c r="W28" s="17"/>
      <c r="X28" t="s" s="47">
        <v>1453</v>
      </c>
      <c r="Y28" s="17"/>
      <c r="Z28" s="29">
        <v>1</v>
      </c>
      <c r="AA28" s="17"/>
      <c r="AB28" s="17"/>
      <c r="AC28" s="29">
        <v>1</v>
      </c>
      <c r="AD28" s="17"/>
      <c r="AE28" s="17"/>
      <c r="AF28" s="8"/>
      <c r="AG28" s="17"/>
      <c r="AH28" s="17"/>
      <c r="AI28" s="17"/>
      <c r="AJ28" s="17"/>
      <c r="AK28" s="17"/>
      <c r="AL28" s="17"/>
      <c r="AM28" s="17"/>
      <c r="AN28" s="17"/>
      <c r="AO28" s="17"/>
      <c r="AP28" s="17"/>
      <c r="AQ28" s="17"/>
      <c r="AR28" s="17"/>
      <c r="AS28" s="17"/>
      <c r="AT28" s="17"/>
      <c r="AU28" s="17"/>
      <c r="AV28" s="17"/>
      <c r="AW28" s="17"/>
      <c r="AX28" s="17"/>
      <c r="AY28" s="17"/>
    </row>
    <row r="29" ht="17" customHeight="1">
      <c r="A29" t="s" s="13">
        <v>1455</v>
      </c>
      <c r="B29" t="s" s="13">
        <v>1456</v>
      </c>
      <c r="C29" s="29">
        <v>13</v>
      </c>
      <c r="D29" t="s" s="13">
        <v>1394</v>
      </c>
      <c r="E29" t="s" s="13">
        <v>1457</v>
      </c>
      <c r="F29" t="s" s="13">
        <v>78</v>
      </c>
      <c r="G29" s="36"/>
      <c r="H29" s="78">
        <v>1</v>
      </c>
      <c r="I29" s="17"/>
      <c r="J29" s="17"/>
      <c r="K29" s="29">
        <v>1</v>
      </c>
      <c r="L29" s="17"/>
      <c r="M29" s="36"/>
      <c r="N29" s="36"/>
      <c r="O29" s="36"/>
      <c r="P29" s="36"/>
      <c r="Q29" s="35">
        <v>61</v>
      </c>
      <c r="R29" s="35">
        <v>1</v>
      </c>
      <c r="S29" s="36"/>
      <c r="T29" s="17"/>
      <c r="U29" s="36"/>
      <c r="V29" s="36"/>
      <c r="W29" s="36"/>
      <c r="X29" t="s" s="47">
        <v>1458</v>
      </c>
      <c r="Y29" s="17"/>
      <c r="Z29" s="29">
        <v>1</v>
      </c>
      <c r="AA29" s="29">
        <v>1</v>
      </c>
      <c r="AB29" s="17"/>
      <c r="AC29" s="29">
        <v>1</v>
      </c>
      <c r="AD29" s="17"/>
      <c r="AE29" s="17"/>
      <c r="AF29" s="8"/>
      <c r="AG29" s="17"/>
      <c r="AH29" s="17"/>
      <c r="AI29" s="17"/>
      <c r="AJ29" s="17"/>
      <c r="AK29" s="17"/>
      <c r="AL29" s="17"/>
      <c r="AM29" s="17"/>
      <c r="AN29" s="17"/>
      <c r="AO29" s="17"/>
      <c r="AP29" s="17"/>
      <c r="AQ29" s="17"/>
      <c r="AR29" s="17"/>
      <c r="AS29" s="17"/>
      <c r="AT29" s="17"/>
      <c r="AU29" s="17"/>
      <c r="AV29" s="17"/>
      <c r="AW29" s="17"/>
      <c r="AX29" s="17"/>
      <c r="AY29" s="17"/>
    </row>
    <row r="30" ht="17.45" customHeight="1">
      <c r="A30" t="s" s="13">
        <v>1455</v>
      </c>
      <c r="B30" t="s" s="13">
        <v>1456</v>
      </c>
      <c r="C30" s="29">
        <v>13</v>
      </c>
      <c r="D30" t="s" s="13">
        <v>1394</v>
      </c>
      <c r="E30" t="s" s="13">
        <v>1457</v>
      </c>
      <c r="F30" t="s" s="13">
        <v>1459</v>
      </c>
      <c r="G30" s="35">
        <v>1</v>
      </c>
      <c r="H30" s="78"/>
      <c r="I30" s="17"/>
      <c r="J30" s="17"/>
      <c r="K30" s="17"/>
      <c r="L30" s="29">
        <v>1</v>
      </c>
      <c r="M30" s="36"/>
      <c r="N30" s="36"/>
      <c r="O30" s="36"/>
      <c r="P30" s="36"/>
      <c r="Q30" s="35">
        <v>34</v>
      </c>
      <c r="R30" s="35">
        <v>1</v>
      </c>
      <c r="S30" s="36"/>
      <c r="T30" s="17"/>
      <c r="U30" s="35">
        <v>14</v>
      </c>
      <c r="V30" s="35">
        <v>3</v>
      </c>
      <c r="W30" s="35">
        <v>1</v>
      </c>
      <c r="X30" s="17"/>
      <c r="Y30" s="17"/>
      <c r="Z30" s="17"/>
      <c r="AA30" s="17"/>
      <c r="AB30" s="17"/>
      <c r="AC30" s="29">
        <v>1</v>
      </c>
      <c r="AD30" s="17"/>
      <c r="AE30" s="17"/>
      <c r="AF30" s="8"/>
      <c r="AG30" s="17"/>
      <c r="AH30" s="17"/>
      <c r="AI30" s="17"/>
      <c r="AJ30" s="17"/>
      <c r="AK30" s="17"/>
      <c r="AL30" s="17"/>
      <c r="AM30" s="17"/>
      <c r="AN30" s="17"/>
      <c r="AO30" s="17"/>
      <c r="AP30" s="17"/>
      <c r="AQ30" s="17"/>
      <c r="AR30" s="17"/>
      <c r="AS30" s="17"/>
      <c r="AT30" s="17"/>
      <c r="AU30" s="17"/>
      <c r="AV30" s="17"/>
      <c r="AW30" s="17"/>
      <c r="AX30" s="17"/>
      <c r="AY30" s="17"/>
    </row>
    <row r="31" ht="17.45" customHeight="1">
      <c r="A31" t="s" s="13">
        <v>1455</v>
      </c>
      <c r="B31" t="s" s="13">
        <v>1456</v>
      </c>
      <c r="C31" s="29">
        <v>13</v>
      </c>
      <c r="D31" t="s" s="13">
        <v>1394</v>
      </c>
      <c r="E31" t="s" s="13">
        <v>1457</v>
      </c>
      <c r="F31" t="s" s="13">
        <v>1460</v>
      </c>
      <c r="G31" s="36"/>
      <c r="H31" s="78"/>
      <c r="I31" s="17"/>
      <c r="J31" s="29">
        <v>1</v>
      </c>
      <c r="K31" s="17"/>
      <c r="L31" s="17"/>
      <c r="M31" s="36"/>
      <c r="N31" s="35">
        <v>1</v>
      </c>
      <c r="O31" s="36"/>
      <c r="P31" s="36"/>
      <c r="Q31" t="s" s="13">
        <v>1368</v>
      </c>
      <c r="R31" s="36"/>
      <c r="S31" s="36"/>
      <c r="T31" s="17"/>
      <c r="U31" s="36"/>
      <c r="V31" s="36"/>
      <c r="W31" s="36"/>
      <c r="X31" s="17"/>
      <c r="Y31" s="17"/>
      <c r="Z31" s="17"/>
      <c r="AA31" s="17"/>
      <c r="AB31" s="17"/>
      <c r="AC31" s="29">
        <v>1</v>
      </c>
      <c r="AD31" s="17"/>
      <c r="AE31" s="17"/>
      <c r="AF31" s="8"/>
      <c r="AG31" s="17"/>
      <c r="AH31" s="17"/>
      <c r="AI31" s="17"/>
      <c r="AJ31" s="17"/>
      <c r="AK31" s="17"/>
      <c r="AL31" s="17"/>
      <c r="AM31" s="17"/>
      <c r="AN31" s="17"/>
      <c r="AO31" s="17"/>
      <c r="AP31" s="17"/>
      <c r="AQ31" s="17"/>
      <c r="AR31" s="17"/>
      <c r="AS31" s="17"/>
      <c r="AT31" s="17"/>
      <c r="AU31" s="17"/>
      <c r="AV31" s="17"/>
      <c r="AW31" s="17"/>
      <c r="AX31" s="17"/>
      <c r="AY31" s="17"/>
    </row>
    <row r="32" ht="17" customHeight="1">
      <c r="A32" t="s" s="13">
        <v>1455</v>
      </c>
      <c r="B32" t="s" s="13">
        <v>1456</v>
      </c>
      <c r="C32" s="29">
        <v>13</v>
      </c>
      <c r="D32" t="s" s="13">
        <v>1394</v>
      </c>
      <c r="E32" t="s" s="13">
        <v>1198</v>
      </c>
      <c r="F32" t="s" s="13">
        <v>266</v>
      </c>
      <c r="G32" s="35">
        <v>1</v>
      </c>
      <c r="H32" s="78"/>
      <c r="I32" s="17"/>
      <c r="J32" s="17"/>
      <c r="K32" s="17"/>
      <c r="L32" s="17"/>
      <c r="M32" s="36"/>
      <c r="N32" s="36"/>
      <c r="O32" s="36"/>
      <c r="P32" s="35">
        <v>1</v>
      </c>
      <c r="Q32" s="29">
        <v>39</v>
      </c>
      <c r="R32" s="36"/>
      <c r="S32" s="35">
        <v>1</v>
      </c>
      <c r="T32" s="17"/>
      <c r="U32" s="36"/>
      <c r="V32" s="36"/>
      <c r="W32" s="36"/>
      <c r="X32" t="s" s="47">
        <v>178</v>
      </c>
      <c r="Y32" s="17"/>
      <c r="Z32" s="29">
        <v>1</v>
      </c>
      <c r="AA32" s="17"/>
      <c r="AB32" s="17"/>
      <c r="AC32" s="17"/>
      <c r="AD32" t="s" s="13">
        <v>449</v>
      </c>
      <c r="AE32" s="17"/>
      <c r="AF32" s="8"/>
      <c r="AG32" s="17"/>
      <c r="AH32" s="17"/>
      <c r="AI32" s="17"/>
      <c r="AJ32" s="17"/>
      <c r="AK32" s="17"/>
      <c r="AL32" s="17"/>
      <c r="AM32" s="17"/>
      <c r="AN32" s="17"/>
      <c r="AO32" s="17"/>
      <c r="AP32" s="17"/>
      <c r="AQ32" s="17"/>
      <c r="AR32" s="17"/>
      <c r="AS32" s="17"/>
      <c r="AT32" s="17"/>
      <c r="AU32" s="17"/>
      <c r="AV32" s="17"/>
      <c r="AW32" s="17"/>
      <c r="AX32" s="17"/>
      <c r="AY32" s="17"/>
    </row>
    <row r="33" ht="17" customHeight="1">
      <c r="A33" t="s" s="13">
        <v>1455</v>
      </c>
      <c r="B33" t="s" s="13">
        <v>1456</v>
      </c>
      <c r="C33" s="29">
        <v>13</v>
      </c>
      <c r="D33" t="s" s="13">
        <v>1394</v>
      </c>
      <c r="E33" t="s" s="13">
        <v>1461</v>
      </c>
      <c r="F33" t="s" s="13">
        <v>492</v>
      </c>
      <c r="G33" s="35">
        <v>1</v>
      </c>
      <c r="H33" s="78"/>
      <c r="I33" s="17"/>
      <c r="J33" s="17"/>
      <c r="K33" s="17"/>
      <c r="L33" s="17"/>
      <c r="M33" s="36"/>
      <c r="N33" s="36"/>
      <c r="O33" s="36"/>
      <c r="P33" s="35">
        <v>1</v>
      </c>
      <c r="Q33" s="29">
        <v>39</v>
      </c>
      <c r="R33" s="36"/>
      <c r="S33" s="35">
        <v>1</v>
      </c>
      <c r="T33" s="17"/>
      <c r="U33" s="36"/>
      <c r="V33" s="36"/>
      <c r="W33" s="36"/>
      <c r="X33" t="s" s="47">
        <v>178</v>
      </c>
      <c r="Y33" s="17"/>
      <c r="Z33" s="29">
        <v>1</v>
      </c>
      <c r="AA33" s="17"/>
      <c r="AB33" s="17"/>
      <c r="AC33" s="17"/>
      <c r="AD33" t="s" s="13">
        <v>1462</v>
      </c>
      <c r="AE33" s="17"/>
      <c r="AF33" s="8"/>
      <c r="AG33" s="17"/>
      <c r="AH33" s="17"/>
      <c r="AI33" s="17"/>
      <c r="AJ33" s="17"/>
      <c r="AK33" s="17"/>
      <c r="AL33" s="17"/>
      <c r="AM33" s="17"/>
      <c r="AN33" s="17"/>
      <c r="AO33" s="17"/>
      <c r="AP33" s="17"/>
      <c r="AQ33" s="17"/>
      <c r="AR33" s="17"/>
      <c r="AS33" s="17"/>
      <c r="AT33" s="17"/>
      <c r="AU33" s="17"/>
      <c r="AV33" s="17"/>
      <c r="AW33" s="17"/>
      <c r="AX33" s="17"/>
      <c r="AY33" s="17"/>
    </row>
    <row r="34" ht="17" customHeight="1">
      <c r="A34" t="s" s="13">
        <v>1455</v>
      </c>
      <c r="B34" t="s" s="13">
        <v>1456</v>
      </c>
      <c r="C34" s="29">
        <v>13</v>
      </c>
      <c r="D34" t="s" s="13">
        <v>1394</v>
      </c>
      <c r="E34" t="s" s="13">
        <v>1463</v>
      </c>
      <c r="F34" t="s" s="13">
        <v>1464</v>
      </c>
      <c r="G34" s="35">
        <v>1</v>
      </c>
      <c r="H34" s="78"/>
      <c r="I34" s="17"/>
      <c r="J34" s="17"/>
      <c r="K34" s="17"/>
      <c r="L34" s="17"/>
      <c r="M34" s="17"/>
      <c r="N34" s="17"/>
      <c r="O34" s="17"/>
      <c r="P34" s="29">
        <v>1</v>
      </c>
      <c r="Q34" s="29">
        <v>25</v>
      </c>
      <c r="R34" s="17"/>
      <c r="S34" s="35">
        <v>1</v>
      </c>
      <c r="T34" s="17"/>
      <c r="U34" s="17"/>
      <c r="V34" s="17"/>
      <c r="W34" s="17"/>
      <c r="X34" t="s" s="47">
        <v>178</v>
      </c>
      <c r="Y34" s="17"/>
      <c r="Z34" s="29">
        <v>1</v>
      </c>
      <c r="AA34" s="17"/>
      <c r="AB34" s="17"/>
      <c r="AC34" s="17"/>
      <c r="AD34" t="s" s="13">
        <v>1465</v>
      </c>
      <c r="AE34" s="17"/>
      <c r="AF34" s="8"/>
      <c r="AG34" s="17"/>
      <c r="AH34" s="17"/>
      <c r="AI34" s="17"/>
      <c r="AJ34" s="17"/>
      <c r="AK34" s="17"/>
      <c r="AL34" s="17"/>
      <c r="AM34" s="17"/>
      <c r="AN34" s="17"/>
      <c r="AO34" s="17"/>
      <c r="AP34" s="17"/>
      <c r="AQ34" s="17"/>
      <c r="AR34" s="17"/>
      <c r="AS34" s="17"/>
      <c r="AT34" s="17"/>
      <c r="AU34" s="17"/>
      <c r="AV34" s="17"/>
      <c r="AW34" s="17"/>
      <c r="AX34" s="17"/>
      <c r="AY34" s="17"/>
    </row>
    <row r="35" ht="17" customHeight="1">
      <c r="A35" t="s" s="13">
        <v>1455</v>
      </c>
      <c r="B35" t="s" s="13">
        <v>1456</v>
      </c>
      <c r="C35" s="29">
        <v>13</v>
      </c>
      <c r="D35" t="s" s="13">
        <v>1394</v>
      </c>
      <c r="E35" t="s" s="13">
        <v>1466</v>
      </c>
      <c r="F35" t="s" s="13">
        <v>253</v>
      </c>
      <c r="G35" s="35">
        <v>1</v>
      </c>
      <c r="H35" s="78"/>
      <c r="I35" s="17"/>
      <c r="J35" s="17"/>
      <c r="K35" s="17"/>
      <c r="L35" s="17"/>
      <c r="M35" s="36"/>
      <c r="N35" s="36"/>
      <c r="O35" s="36"/>
      <c r="P35" s="35">
        <v>1</v>
      </c>
      <c r="Q35" s="29">
        <v>26</v>
      </c>
      <c r="R35" s="36"/>
      <c r="S35" s="35">
        <v>1</v>
      </c>
      <c r="T35" s="116"/>
      <c r="U35" s="36"/>
      <c r="V35" s="17"/>
      <c r="W35" s="17"/>
      <c r="X35" t="s" s="47">
        <v>178</v>
      </c>
      <c r="Y35" s="17"/>
      <c r="Z35" s="29">
        <v>1</v>
      </c>
      <c r="AA35" s="17"/>
      <c r="AB35" s="17"/>
      <c r="AC35" s="17"/>
      <c r="AD35" t="s" s="13">
        <v>449</v>
      </c>
      <c r="AE35" s="17"/>
      <c r="AF35" s="8"/>
      <c r="AG35" s="17"/>
      <c r="AH35" s="17"/>
      <c r="AI35" s="17"/>
      <c r="AJ35" s="17"/>
      <c r="AK35" s="17"/>
      <c r="AL35" s="17"/>
      <c r="AM35" s="17"/>
      <c r="AN35" s="17"/>
      <c r="AO35" s="17"/>
      <c r="AP35" s="17"/>
      <c r="AQ35" s="17"/>
      <c r="AR35" s="17"/>
      <c r="AS35" s="17"/>
      <c r="AT35" s="17"/>
      <c r="AU35" s="17"/>
      <c r="AV35" s="17"/>
      <c r="AW35" s="17"/>
      <c r="AX35" s="17"/>
      <c r="AY35" s="17"/>
    </row>
    <row r="36" ht="17" customHeight="1">
      <c r="A36" t="s" s="13">
        <v>1467</v>
      </c>
      <c r="B36" s="17"/>
      <c r="C36" s="29">
        <v>15</v>
      </c>
      <c r="D36" t="s" s="13">
        <v>1394</v>
      </c>
      <c r="E36" t="s" s="13">
        <v>1468</v>
      </c>
      <c r="F36" t="s" s="13">
        <v>1469</v>
      </c>
      <c r="G36" s="36"/>
      <c r="H36" s="78">
        <v>1</v>
      </c>
      <c r="I36" s="17"/>
      <c r="J36" s="17"/>
      <c r="K36" s="29">
        <v>1</v>
      </c>
      <c r="L36" s="17"/>
      <c r="M36" s="36"/>
      <c r="N36" s="36"/>
      <c r="O36" s="36"/>
      <c r="P36" s="36"/>
      <c r="Q36" s="29">
        <v>68</v>
      </c>
      <c r="R36" s="35">
        <v>1</v>
      </c>
      <c r="S36" s="36"/>
      <c r="T36" s="17"/>
      <c r="U36" s="36"/>
      <c r="V36" s="17"/>
      <c r="W36" s="17"/>
      <c r="X36" t="s" s="47">
        <v>1470</v>
      </c>
      <c r="Y36" s="17"/>
      <c r="Z36" s="17"/>
      <c r="AA36" s="17"/>
      <c r="AB36" s="17"/>
      <c r="AC36" s="17"/>
      <c r="AD36" t="s" s="13">
        <v>1437</v>
      </c>
      <c r="AE36" s="17"/>
      <c r="AF36" s="8"/>
      <c r="AG36" s="17"/>
      <c r="AH36" s="17"/>
      <c r="AI36" s="17"/>
      <c r="AJ36" s="17"/>
      <c r="AK36" s="17"/>
      <c r="AL36" s="17"/>
      <c r="AM36" s="17"/>
      <c r="AN36" s="17"/>
      <c r="AO36" s="17"/>
      <c r="AP36" s="17"/>
      <c r="AQ36" s="17"/>
      <c r="AR36" s="17"/>
      <c r="AS36" s="17"/>
      <c r="AT36" s="17"/>
      <c r="AU36" s="17"/>
      <c r="AV36" s="17"/>
      <c r="AW36" s="17"/>
      <c r="AX36" s="17"/>
      <c r="AY36" s="17"/>
    </row>
    <row r="37" ht="17.45" customHeight="1">
      <c r="A37" t="s" s="13">
        <v>1467</v>
      </c>
      <c r="B37" s="17"/>
      <c r="C37" s="29">
        <v>15</v>
      </c>
      <c r="D37" t="s" s="13">
        <v>1394</v>
      </c>
      <c r="E37" t="s" s="13">
        <v>1468</v>
      </c>
      <c r="F37" t="s" s="13">
        <v>170</v>
      </c>
      <c r="G37" s="35">
        <v>1</v>
      </c>
      <c r="H37" s="78"/>
      <c r="I37" s="17"/>
      <c r="J37" s="17"/>
      <c r="K37" s="17"/>
      <c r="L37" s="29">
        <v>1</v>
      </c>
      <c r="M37" s="36"/>
      <c r="N37" s="36"/>
      <c r="O37" s="36"/>
      <c r="P37" s="36"/>
      <c r="Q37" s="29">
        <v>55</v>
      </c>
      <c r="R37" s="35">
        <v>1</v>
      </c>
      <c r="S37" s="36"/>
      <c r="T37" s="17"/>
      <c r="U37" s="35">
        <v>31</v>
      </c>
      <c r="V37" s="35">
        <v>4</v>
      </c>
      <c r="W37" s="35">
        <v>3</v>
      </c>
      <c r="X37" s="17"/>
      <c r="Y37" s="17"/>
      <c r="Z37" s="17"/>
      <c r="AA37" s="17"/>
      <c r="AB37" s="17"/>
      <c r="AC37" s="17"/>
      <c r="AD37" t="s" s="13">
        <v>1471</v>
      </c>
      <c r="AE37" s="17"/>
      <c r="AF37" s="8"/>
      <c r="AG37" s="17"/>
      <c r="AH37" s="17"/>
      <c r="AI37" s="17"/>
      <c r="AJ37" s="17"/>
      <c r="AK37" s="17"/>
      <c r="AL37" s="17"/>
      <c r="AM37" s="17"/>
      <c r="AN37" s="17"/>
      <c r="AO37" s="17"/>
      <c r="AP37" s="17"/>
      <c r="AQ37" s="17"/>
      <c r="AR37" s="17"/>
      <c r="AS37" s="17"/>
      <c r="AT37" s="17"/>
      <c r="AU37" s="17"/>
      <c r="AV37" s="17"/>
      <c r="AW37" s="17"/>
      <c r="AX37" s="17"/>
      <c r="AY37" s="17"/>
    </row>
    <row r="38" ht="17" customHeight="1">
      <c r="A38" t="s" s="13">
        <v>1467</v>
      </c>
      <c r="B38" s="17"/>
      <c r="C38" s="29">
        <v>15</v>
      </c>
      <c r="D38" t="s" s="13">
        <v>1394</v>
      </c>
      <c r="E38" t="s" s="13">
        <v>1468</v>
      </c>
      <c r="F38" t="s" s="13">
        <v>170</v>
      </c>
      <c r="G38" s="35">
        <v>1</v>
      </c>
      <c r="H38" s="78"/>
      <c r="I38" s="17"/>
      <c r="J38" s="17"/>
      <c r="K38" s="17"/>
      <c r="L38" s="17"/>
      <c r="M38" s="35">
        <v>1</v>
      </c>
      <c r="N38" s="36"/>
      <c r="O38" s="36"/>
      <c r="P38" s="36"/>
      <c r="Q38" s="29">
        <v>30</v>
      </c>
      <c r="R38" s="36"/>
      <c r="S38" s="35">
        <v>1</v>
      </c>
      <c r="T38" s="116"/>
      <c r="U38" s="36"/>
      <c r="V38" s="17"/>
      <c r="W38" s="17"/>
      <c r="X38" t="s" s="47">
        <v>1280</v>
      </c>
      <c r="Y38" s="17"/>
      <c r="Z38" s="17"/>
      <c r="AA38" s="17"/>
      <c r="AB38" s="17"/>
      <c r="AC38" s="29">
        <v>1</v>
      </c>
      <c r="AD38" s="17"/>
      <c r="AE38" s="17"/>
      <c r="AF38" s="8"/>
      <c r="AG38" s="17"/>
      <c r="AH38" s="17"/>
      <c r="AI38" s="17"/>
      <c r="AJ38" s="17"/>
      <c r="AK38" s="17"/>
      <c r="AL38" s="17"/>
      <c r="AM38" s="17"/>
      <c r="AN38" s="17"/>
      <c r="AO38" s="17"/>
      <c r="AP38" s="17"/>
      <c r="AQ38" s="17"/>
      <c r="AR38" s="17"/>
      <c r="AS38" s="17"/>
      <c r="AT38" s="17"/>
      <c r="AU38" s="17"/>
      <c r="AV38" s="17"/>
      <c r="AW38" s="17"/>
      <c r="AX38" s="17"/>
      <c r="AY38" s="17"/>
    </row>
    <row r="39" ht="17.45" customHeight="1">
      <c r="A39" t="s" s="13">
        <v>1467</v>
      </c>
      <c r="B39" s="17"/>
      <c r="C39" s="29">
        <v>15</v>
      </c>
      <c r="D39" t="s" s="13">
        <v>1394</v>
      </c>
      <c r="E39" t="s" s="13">
        <v>1468</v>
      </c>
      <c r="F39" t="s" s="13">
        <v>645</v>
      </c>
      <c r="G39" s="35">
        <v>1</v>
      </c>
      <c r="H39" s="78"/>
      <c r="I39" s="17"/>
      <c r="J39" s="17"/>
      <c r="K39" s="17"/>
      <c r="L39" s="17"/>
      <c r="M39" s="35">
        <v>1</v>
      </c>
      <c r="N39" s="36"/>
      <c r="O39" s="36"/>
      <c r="P39" s="36"/>
      <c r="Q39" s="29">
        <v>27</v>
      </c>
      <c r="R39" s="36"/>
      <c r="S39" s="35">
        <v>1</v>
      </c>
      <c r="T39" s="17"/>
      <c r="U39" s="36"/>
      <c r="V39" s="17"/>
      <c r="W39" s="17"/>
      <c r="X39" s="17"/>
      <c r="Y39" s="17"/>
      <c r="Z39" s="17"/>
      <c r="AA39" s="17"/>
      <c r="AB39" s="17"/>
      <c r="AC39" s="29">
        <v>1</v>
      </c>
      <c r="AD39" s="17"/>
      <c r="AE39" s="17"/>
      <c r="AF39" s="8"/>
      <c r="AG39" s="17"/>
      <c r="AH39" s="17"/>
      <c r="AI39" s="17"/>
      <c r="AJ39" s="17"/>
      <c r="AK39" s="17"/>
      <c r="AL39" s="17"/>
      <c r="AM39" s="17"/>
      <c r="AN39" s="17"/>
      <c r="AO39" s="17"/>
      <c r="AP39" s="17"/>
      <c r="AQ39" s="17"/>
      <c r="AR39" s="17"/>
      <c r="AS39" s="17"/>
      <c r="AT39" s="17"/>
      <c r="AU39" s="17"/>
      <c r="AV39" s="17"/>
      <c r="AW39" s="17"/>
      <c r="AX39" s="17"/>
      <c r="AY39" s="17"/>
    </row>
    <row r="40" ht="17.45" customHeight="1">
      <c r="A40" t="s" s="13">
        <v>1467</v>
      </c>
      <c r="B40" s="17"/>
      <c r="C40" s="29">
        <v>15</v>
      </c>
      <c r="D40" t="s" s="13">
        <v>1394</v>
      </c>
      <c r="E40" t="s" s="13">
        <v>1468</v>
      </c>
      <c r="F40" t="s" s="13">
        <v>575</v>
      </c>
      <c r="G40" s="35">
        <v>1</v>
      </c>
      <c r="H40" s="17"/>
      <c r="I40" s="17"/>
      <c r="J40" s="17"/>
      <c r="K40" s="17"/>
      <c r="L40" s="17"/>
      <c r="M40" s="29">
        <v>1</v>
      </c>
      <c r="N40" s="17"/>
      <c r="O40" s="17"/>
      <c r="P40" s="17"/>
      <c r="Q40" s="29">
        <v>24</v>
      </c>
      <c r="R40" s="17"/>
      <c r="S40" s="35">
        <v>1</v>
      </c>
      <c r="T40" s="17"/>
      <c r="U40" s="17"/>
      <c r="V40" s="17"/>
      <c r="W40" s="17"/>
      <c r="X40" s="17"/>
      <c r="Y40" s="17"/>
      <c r="Z40" s="17"/>
      <c r="AA40" s="17"/>
      <c r="AB40" s="17"/>
      <c r="AC40" s="29">
        <v>1</v>
      </c>
      <c r="AD40" s="17"/>
      <c r="AE40" s="17"/>
      <c r="AF40" s="8"/>
      <c r="AG40" s="17"/>
      <c r="AH40" s="17"/>
      <c r="AI40" s="17"/>
      <c r="AJ40" s="17"/>
      <c r="AK40" s="17"/>
      <c r="AL40" s="17"/>
      <c r="AM40" s="17"/>
      <c r="AN40" s="17"/>
      <c r="AO40" s="17"/>
      <c r="AP40" s="17"/>
      <c r="AQ40" s="17"/>
      <c r="AR40" s="17"/>
      <c r="AS40" s="17"/>
      <c r="AT40" s="17"/>
      <c r="AU40" s="17"/>
      <c r="AV40" s="17"/>
      <c r="AW40" s="17"/>
      <c r="AX40" s="17"/>
      <c r="AY40" s="17"/>
    </row>
    <row r="41" ht="17.45" customHeight="1">
      <c r="A41" t="s" s="13">
        <v>1467</v>
      </c>
      <c r="B41" s="17"/>
      <c r="C41" s="29">
        <v>15</v>
      </c>
      <c r="D41" t="s" s="13">
        <v>1394</v>
      </c>
      <c r="E41" t="s" s="13">
        <v>1472</v>
      </c>
      <c r="F41" t="s" s="13">
        <v>234</v>
      </c>
      <c r="G41" s="35">
        <v>1</v>
      </c>
      <c r="H41" s="17"/>
      <c r="I41" s="17"/>
      <c r="J41" s="17"/>
      <c r="K41" s="17"/>
      <c r="L41" s="17"/>
      <c r="M41" s="17"/>
      <c r="N41" s="17"/>
      <c r="O41" s="17"/>
      <c r="P41" s="29">
        <v>1</v>
      </c>
      <c r="Q41" s="29">
        <v>33</v>
      </c>
      <c r="R41" s="17"/>
      <c r="S41" s="35">
        <v>1</v>
      </c>
      <c r="T41" s="17"/>
      <c r="U41" s="17"/>
      <c r="V41" s="17"/>
      <c r="W41" s="17"/>
      <c r="X41" t="s" s="13">
        <v>191</v>
      </c>
      <c r="Y41" s="17"/>
      <c r="Z41" s="29">
        <v>1</v>
      </c>
      <c r="AA41" s="17"/>
      <c r="AB41" s="17"/>
      <c r="AC41" s="17"/>
      <c r="AD41" t="s" s="13">
        <v>1462</v>
      </c>
      <c r="AE41" s="17"/>
      <c r="AF41" s="8"/>
      <c r="AG41" s="17"/>
      <c r="AH41" s="17"/>
      <c r="AI41" s="17"/>
      <c r="AJ41" s="17"/>
      <c r="AK41" s="17"/>
      <c r="AL41" s="17"/>
      <c r="AM41" s="17"/>
      <c r="AN41" s="17"/>
      <c r="AO41" s="17"/>
      <c r="AP41" s="17"/>
      <c r="AQ41" s="17"/>
      <c r="AR41" s="17"/>
      <c r="AS41" s="17"/>
      <c r="AT41" s="17"/>
      <c r="AU41" s="17"/>
      <c r="AV41" s="17"/>
      <c r="AW41" s="17"/>
      <c r="AX41" s="17"/>
      <c r="AY41" s="17"/>
    </row>
    <row r="42" ht="17.45" customHeight="1">
      <c r="A42" t="s" s="13">
        <v>1467</v>
      </c>
      <c r="B42" s="17"/>
      <c r="C42" s="29">
        <v>15</v>
      </c>
      <c r="D42" t="s" s="13">
        <v>1394</v>
      </c>
      <c r="E42" t="s" s="13">
        <v>1473</v>
      </c>
      <c r="F42" t="s" s="13">
        <v>1474</v>
      </c>
      <c r="G42" s="35">
        <v>1</v>
      </c>
      <c r="H42" s="17"/>
      <c r="I42" s="17"/>
      <c r="J42" s="17"/>
      <c r="K42" s="17"/>
      <c r="L42" s="17"/>
      <c r="M42" s="17"/>
      <c r="N42" s="17"/>
      <c r="O42" s="17"/>
      <c r="P42" s="29">
        <v>1</v>
      </c>
      <c r="Q42" s="78">
        <v>19</v>
      </c>
      <c r="R42" s="17"/>
      <c r="S42" s="35">
        <v>1</v>
      </c>
      <c r="T42" s="17"/>
      <c r="U42" s="17"/>
      <c r="V42" s="17"/>
      <c r="W42" s="17"/>
      <c r="X42" t="s" s="13">
        <v>194</v>
      </c>
      <c r="Y42" s="17"/>
      <c r="Z42" s="29">
        <v>1</v>
      </c>
      <c r="AA42" s="17"/>
      <c r="AB42" s="17"/>
      <c r="AC42" s="17"/>
      <c r="AD42" t="s" s="13">
        <v>449</v>
      </c>
      <c r="AE42" s="17"/>
      <c r="AF42" s="8"/>
      <c r="AG42" s="17"/>
      <c r="AH42" s="17"/>
      <c r="AI42" s="17"/>
      <c r="AJ42" s="17"/>
      <c r="AK42" s="17"/>
      <c r="AL42" s="17"/>
      <c r="AM42" s="17"/>
      <c r="AN42" s="17"/>
      <c r="AO42" s="17"/>
      <c r="AP42" s="17"/>
      <c r="AQ42" s="17"/>
      <c r="AR42" s="17"/>
      <c r="AS42" s="17"/>
      <c r="AT42" s="17"/>
      <c r="AU42" s="17"/>
      <c r="AV42" s="17"/>
      <c r="AW42" s="17"/>
      <c r="AX42" s="17"/>
      <c r="AY42" s="17"/>
    </row>
    <row r="43" ht="17.45" customHeight="1">
      <c r="A43" t="s" s="13">
        <v>1475</v>
      </c>
      <c r="B43" t="s" s="13">
        <v>1476</v>
      </c>
      <c r="C43" s="29">
        <v>17</v>
      </c>
      <c r="D43" t="s" s="13">
        <v>1394</v>
      </c>
      <c r="E43" t="s" s="13">
        <v>346</v>
      </c>
      <c r="F43" t="s" s="13">
        <v>1477</v>
      </c>
      <c r="G43" s="36"/>
      <c r="H43" s="78">
        <v>1</v>
      </c>
      <c r="I43" s="79"/>
      <c r="J43" s="17"/>
      <c r="K43" s="29">
        <v>1</v>
      </c>
      <c r="L43" s="17"/>
      <c r="M43" s="17"/>
      <c r="N43" s="17"/>
      <c r="O43" s="17"/>
      <c r="P43" s="17"/>
      <c r="Q43" s="78">
        <v>59</v>
      </c>
      <c r="R43" s="35">
        <v>1</v>
      </c>
      <c r="S43" s="79"/>
      <c r="T43" s="79"/>
      <c r="U43" s="17"/>
      <c r="V43" s="17"/>
      <c r="W43" s="17"/>
      <c r="X43" t="s" s="13">
        <v>1478</v>
      </c>
      <c r="Y43" s="17"/>
      <c r="Z43" s="29">
        <v>1</v>
      </c>
      <c r="AA43" s="17"/>
      <c r="AB43" s="17"/>
      <c r="AC43" s="17"/>
      <c r="AD43" t="s" s="13">
        <v>1479</v>
      </c>
      <c r="AE43" s="17"/>
      <c r="AF43" s="8"/>
      <c r="AG43" s="17"/>
      <c r="AH43" s="17"/>
      <c r="AI43" s="17"/>
      <c r="AJ43" s="17"/>
      <c r="AK43" s="17"/>
      <c r="AL43" s="17"/>
      <c r="AM43" s="17"/>
      <c r="AN43" s="17"/>
      <c r="AO43" s="17"/>
      <c r="AP43" s="17"/>
      <c r="AQ43" s="17"/>
      <c r="AR43" s="17"/>
      <c r="AS43" s="17"/>
      <c r="AT43" s="17"/>
      <c r="AU43" s="17"/>
      <c r="AV43" s="17"/>
      <c r="AW43" s="17"/>
      <c r="AX43" s="17"/>
      <c r="AY43" s="17"/>
    </row>
    <row r="44" ht="17.45" customHeight="1">
      <c r="A44" t="s" s="13">
        <v>1475</v>
      </c>
      <c r="B44" t="s" s="13">
        <v>1476</v>
      </c>
      <c r="C44" s="29">
        <v>17</v>
      </c>
      <c r="D44" t="s" s="13">
        <v>1394</v>
      </c>
      <c r="E44" t="s" s="13">
        <v>346</v>
      </c>
      <c r="F44" t="s" s="13">
        <v>260</v>
      </c>
      <c r="G44" s="35">
        <v>1</v>
      </c>
      <c r="H44" s="78"/>
      <c r="I44" s="17"/>
      <c r="J44" s="17"/>
      <c r="K44" s="17"/>
      <c r="L44" s="29">
        <v>1</v>
      </c>
      <c r="M44" s="17"/>
      <c r="N44" s="17"/>
      <c r="O44" s="17"/>
      <c r="P44" s="17"/>
      <c r="Q44" s="29">
        <v>47</v>
      </c>
      <c r="R44" s="35">
        <v>1</v>
      </c>
      <c r="S44" s="36"/>
      <c r="T44" s="116"/>
      <c r="U44" s="29">
        <v>26</v>
      </c>
      <c r="V44" s="29">
        <v>3</v>
      </c>
      <c r="W44" s="29">
        <v>3</v>
      </c>
      <c r="X44" s="17"/>
      <c r="Y44" s="17"/>
      <c r="Z44" s="17"/>
      <c r="AA44" s="17"/>
      <c r="AB44" s="17"/>
      <c r="AC44" s="17"/>
      <c r="AD44" t="s" s="13">
        <v>146</v>
      </c>
      <c r="AE44" s="17"/>
      <c r="AF44" s="8"/>
      <c r="AG44" s="17"/>
      <c r="AH44" s="17"/>
      <c r="AI44" s="17"/>
      <c r="AJ44" s="17"/>
      <c r="AK44" s="17"/>
      <c r="AL44" s="17"/>
      <c r="AM44" s="17"/>
      <c r="AN44" s="17"/>
      <c r="AO44" s="17"/>
      <c r="AP44" s="17"/>
      <c r="AQ44" s="17"/>
      <c r="AR44" s="17"/>
      <c r="AS44" s="17"/>
      <c r="AT44" s="17"/>
      <c r="AU44" s="17"/>
      <c r="AV44" s="17"/>
      <c r="AW44" s="17"/>
      <c r="AX44" s="17"/>
      <c r="AY44" s="17"/>
    </row>
    <row r="45" ht="17.45" customHeight="1">
      <c r="A45" t="s" s="13">
        <v>1475</v>
      </c>
      <c r="B45" t="s" s="13">
        <v>1476</v>
      </c>
      <c r="C45" s="29">
        <v>17</v>
      </c>
      <c r="D45" t="s" s="13">
        <v>1394</v>
      </c>
      <c r="E45" t="s" s="13">
        <v>1480</v>
      </c>
      <c r="F45" t="s" s="13">
        <v>1481</v>
      </c>
      <c r="G45" s="35">
        <v>1</v>
      </c>
      <c r="H45" s="78"/>
      <c r="I45" s="17"/>
      <c r="J45" s="17"/>
      <c r="K45" s="17"/>
      <c r="L45" s="17"/>
      <c r="M45" s="17"/>
      <c r="N45" s="17"/>
      <c r="O45" s="17"/>
      <c r="P45" s="29">
        <v>1</v>
      </c>
      <c r="Q45" s="29">
        <v>32</v>
      </c>
      <c r="R45" s="79"/>
      <c r="S45" s="29">
        <v>1</v>
      </c>
      <c r="T45" s="79"/>
      <c r="U45" s="17"/>
      <c r="V45" s="17"/>
      <c r="W45" s="17"/>
      <c r="X45" t="s" s="13">
        <v>530</v>
      </c>
      <c r="Y45" s="17"/>
      <c r="Z45" s="29">
        <v>1</v>
      </c>
      <c r="AA45" s="17"/>
      <c r="AB45" s="17"/>
      <c r="AC45" s="83"/>
      <c r="AD45" t="s" s="13">
        <v>400</v>
      </c>
      <c r="AE45" s="17"/>
      <c r="AF45" s="8"/>
      <c r="AG45" s="17"/>
      <c r="AH45" s="17"/>
      <c r="AI45" s="17"/>
      <c r="AJ45" s="17"/>
      <c r="AK45" s="17"/>
      <c r="AL45" s="17"/>
      <c r="AM45" s="17"/>
      <c r="AN45" s="17"/>
      <c r="AO45" s="17"/>
      <c r="AP45" s="17"/>
      <c r="AQ45" s="17"/>
      <c r="AR45" s="17"/>
      <c r="AS45" s="17"/>
      <c r="AT45" s="17"/>
      <c r="AU45" s="17"/>
      <c r="AV45" s="17"/>
      <c r="AW45" s="17"/>
      <c r="AX45" s="17"/>
      <c r="AY45" s="17"/>
    </row>
    <row r="46" ht="17.45" customHeight="1">
      <c r="A46" t="s" s="13">
        <v>1475</v>
      </c>
      <c r="B46" t="s" s="13">
        <v>1476</v>
      </c>
      <c r="C46" s="29">
        <v>17</v>
      </c>
      <c r="D46" t="s" s="13">
        <v>1394</v>
      </c>
      <c r="E46" t="s" s="13">
        <v>1482</v>
      </c>
      <c r="F46" t="s" s="13">
        <v>1483</v>
      </c>
      <c r="G46" s="36"/>
      <c r="H46" s="78">
        <v>1</v>
      </c>
      <c r="I46" s="17"/>
      <c r="J46" s="17"/>
      <c r="K46" s="17"/>
      <c r="L46" s="17"/>
      <c r="M46" s="17"/>
      <c r="N46" s="17"/>
      <c r="O46" s="17"/>
      <c r="P46" s="29">
        <v>1</v>
      </c>
      <c r="Q46" s="29">
        <v>38</v>
      </c>
      <c r="R46" s="36"/>
      <c r="S46" s="29">
        <v>1</v>
      </c>
      <c r="T46" s="17"/>
      <c r="U46" s="17"/>
      <c r="V46" s="17"/>
      <c r="W46" s="17"/>
      <c r="X46" t="s" s="13">
        <v>530</v>
      </c>
      <c r="Y46" s="17"/>
      <c r="Z46" s="29">
        <v>1</v>
      </c>
      <c r="AA46" s="17"/>
      <c r="AB46" s="17"/>
      <c r="AC46" s="17"/>
      <c r="AD46" t="s" s="13">
        <v>351</v>
      </c>
      <c r="AE46" s="17"/>
      <c r="AF46" s="8"/>
      <c r="AG46" s="17"/>
      <c r="AH46" s="17"/>
      <c r="AI46" s="17"/>
      <c r="AJ46" s="17"/>
      <c r="AK46" s="17"/>
      <c r="AL46" s="17"/>
      <c r="AM46" s="17"/>
      <c r="AN46" s="17"/>
      <c r="AO46" s="17"/>
      <c r="AP46" s="17"/>
      <c r="AQ46" s="17"/>
      <c r="AR46" s="17"/>
      <c r="AS46" s="17"/>
      <c r="AT46" s="17"/>
      <c r="AU46" s="17"/>
      <c r="AV46" s="17"/>
      <c r="AW46" s="17"/>
      <c r="AX46" s="17"/>
      <c r="AY46" s="17"/>
    </row>
    <row r="47" ht="17.45" customHeight="1">
      <c r="A47" t="s" s="13">
        <v>1475</v>
      </c>
      <c r="B47" t="s" s="13">
        <v>1476</v>
      </c>
      <c r="C47" s="29">
        <v>17</v>
      </c>
      <c r="D47" t="s" s="13">
        <v>1394</v>
      </c>
      <c r="E47" t="s" s="13">
        <v>153</v>
      </c>
      <c r="F47" t="s" s="13">
        <v>496</v>
      </c>
      <c r="G47" s="35">
        <v>1</v>
      </c>
      <c r="H47" s="17"/>
      <c r="I47" s="17"/>
      <c r="J47" s="17"/>
      <c r="K47" s="17"/>
      <c r="L47" s="17"/>
      <c r="M47" s="17"/>
      <c r="N47" s="17"/>
      <c r="O47" s="17"/>
      <c r="P47" s="29">
        <v>1</v>
      </c>
      <c r="Q47" s="29">
        <v>16</v>
      </c>
      <c r="R47" s="17"/>
      <c r="S47" s="29">
        <v>1</v>
      </c>
      <c r="T47" s="17"/>
      <c r="U47" s="17"/>
      <c r="V47" s="17"/>
      <c r="W47" s="17"/>
      <c r="X47" t="s" s="13">
        <v>530</v>
      </c>
      <c r="Y47" s="17"/>
      <c r="Z47" s="29">
        <v>1</v>
      </c>
      <c r="AA47" s="17"/>
      <c r="AB47" s="17"/>
      <c r="AC47" s="17"/>
      <c r="AD47" t="s" s="13">
        <v>1183</v>
      </c>
      <c r="AE47" s="17"/>
      <c r="AF47" s="8"/>
      <c r="AG47" s="17"/>
      <c r="AH47" s="17"/>
      <c r="AI47" s="17"/>
      <c r="AJ47" s="17"/>
      <c r="AK47" s="17"/>
      <c r="AL47" s="17"/>
      <c r="AM47" s="17"/>
      <c r="AN47" s="17"/>
      <c r="AO47" s="17"/>
      <c r="AP47" s="17"/>
      <c r="AQ47" s="17"/>
      <c r="AR47" s="17"/>
      <c r="AS47" s="17"/>
      <c r="AT47" s="17"/>
      <c r="AU47" s="17"/>
      <c r="AV47" s="17"/>
      <c r="AW47" s="17"/>
      <c r="AX47" s="17"/>
      <c r="AY47" s="17"/>
    </row>
    <row r="48" ht="17.45" customHeight="1">
      <c r="A48" t="s" s="13">
        <v>1475</v>
      </c>
      <c r="B48" t="s" s="13">
        <v>1476</v>
      </c>
      <c r="C48" s="29">
        <v>17</v>
      </c>
      <c r="D48" t="s" s="13">
        <v>1394</v>
      </c>
      <c r="E48" t="s" s="13">
        <v>1484</v>
      </c>
      <c r="F48" t="s" s="13">
        <v>1485</v>
      </c>
      <c r="G48" s="35">
        <v>1</v>
      </c>
      <c r="H48" s="17"/>
      <c r="I48" s="17"/>
      <c r="J48" s="17"/>
      <c r="K48" s="17"/>
      <c r="L48" s="17"/>
      <c r="M48" s="17"/>
      <c r="N48" s="17"/>
      <c r="O48" s="17"/>
      <c r="P48" s="29">
        <v>1</v>
      </c>
      <c r="Q48" s="29">
        <v>43</v>
      </c>
      <c r="R48" s="17"/>
      <c r="S48" s="29">
        <v>1</v>
      </c>
      <c r="T48" s="17"/>
      <c r="U48" s="17"/>
      <c r="V48" s="17"/>
      <c r="W48" s="17"/>
      <c r="X48" t="s" s="13">
        <v>191</v>
      </c>
      <c r="Y48" s="17"/>
      <c r="Z48" s="29">
        <v>1</v>
      </c>
      <c r="AA48" s="17"/>
      <c r="AB48" s="17"/>
      <c r="AC48" s="17"/>
      <c r="AD48" t="s" s="13">
        <v>1183</v>
      </c>
      <c r="AE48" s="17"/>
      <c r="AF48" s="8"/>
      <c r="AG48" s="17"/>
      <c r="AH48" s="17"/>
      <c r="AI48" s="17"/>
      <c r="AJ48" s="17"/>
      <c r="AK48" s="17"/>
      <c r="AL48" s="17"/>
      <c r="AM48" s="17"/>
      <c r="AN48" s="17"/>
      <c r="AO48" s="17"/>
      <c r="AP48" s="17"/>
      <c r="AQ48" s="17"/>
      <c r="AR48" s="17"/>
      <c r="AS48" s="17"/>
      <c r="AT48" s="17"/>
      <c r="AU48" s="17"/>
      <c r="AV48" s="17"/>
      <c r="AW48" s="17"/>
      <c r="AX48" s="17"/>
      <c r="AY48" s="17"/>
    </row>
    <row r="49" ht="17.45" customHeight="1">
      <c r="A49" t="s" s="13">
        <v>1486</v>
      </c>
      <c r="B49" s="17"/>
      <c r="C49" s="29">
        <v>19</v>
      </c>
      <c r="D49" t="s" s="13">
        <v>1394</v>
      </c>
      <c r="E49" t="s" s="13">
        <v>1487</v>
      </c>
      <c r="F49" t="s" s="13">
        <v>1488</v>
      </c>
      <c r="G49" s="36"/>
      <c r="H49" s="17"/>
      <c r="I49" s="17"/>
      <c r="J49" s="29">
        <v>1</v>
      </c>
      <c r="K49" s="17"/>
      <c r="L49" s="17"/>
      <c r="M49" s="17"/>
      <c r="N49" s="29">
        <v>1</v>
      </c>
      <c r="O49" s="17"/>
      <c r="P49" s="17"/>
      <c r="Q49" s="29">
        <v>12</v>
      </c>
      <c r="R49" s="17"/>
      <c r="S49" s="17"/>
      <c r="T49" s="17"/>
      <c r="U49" s="17"/>
      <c r="V49" s="17"/>
      <c r="W49" s="17"/>
      <c r="X49" t="s" s="13">
        <v>1105</v>
      </c>
      <c r="Y49" s="17"/>
      <c r="Z49" s="17"/>
      <c r="AA49" s="17"/>
      <c r="AB49" s="17"/>
      <c r="AC49" s="29">
        <v>1</v>
      </c>
      <c r="AD49" s="17"/>
      <c r="AE49" t="s" s="13">
        <v>1489</v>
      </c>
      <c r="AF49" s="8"/>
      <c r="AG49" s="17"/>
      <c r="AH49" s="17"/>
      <c r="AI49" s="17"/>
      <c r="AJ49" s="17"/>
      <c r="AK49" s="17"/>
      <c r="AL49" s="17"/>
      <c r="AM49" s="17"/>
      <c r="AN49" s="17"/>
      <c r="AO49" s="17"/>
      <c r="AP49" s="17"/>
      <c r="AQ49" s="17"/>
      <c r="AR49" s="17"/>
      <c r="AS49" s="17"/>
      <c r="AT49" s="17"/>
      <c r="AU49" s="17"/>
      <c r="AV49" s="17"/>
      <c r="AW49" s="17"/>
      <c r="AX49" s="17"/>
      <c r="AY49" s="17"/>
    </row>
    <row r="50" ht="17.45" customHeight="1">
      <c r="A50" t="s" s="13">
        <v>1486</v>
      </c>
      <c r="B50" s="17"/>
      <c r="C50" s="29">
        <v>19</v>
      </c>
      <c r="D50" t="s" s="13">
        <v>1394</v>
      </c>
      <c r="E50" t="s" s="13">
        <v>1487</v>
      </c>
      <c r="F50" t="s" s="13">
        <v>566</v>
      </c>
      <c r="G50" s="36"/>
      <c r="H50" s="17"/>
      <c r="I50" s="29">
        <v>1</v>
      </c>
      <c r="J50" s="17"/>
      <c r="K50" s="17"/>
      <c r="L50" s="17"/>
      <c r="M50" s="29">
        <v>1</v>
      </c>
      <c r="N50" s="17"/>
      <c r="O50" s="17"/>
      <c r="P50" s="17"/>
      <c r="Q50" s="29">
        <v>10</v>
      </c>
      <c r="R50" s="17"/>
      <c r="S50" s="17"/>
      <c r="T50" s="17"/>
      <c r="U50" s="17"/>
      <c r="V50" s="17"/>
      <c r="W50" s="17"/>
      <c r="X50" t="s" s="13">
        <v>1105</v>
      </c>
      <c r="Y50" s="17"/>
      <c r="Z50" s="17"/>
      <c r="AA50" s="17"/>
      <c r="AB50" s="17"/>
      <c r="AC50" s="29">
        <v>1</v>
      </c>
      <c r="AD50" s="17"/>
      <c r="AE50" s="17"/>
      <c r="AF50" s="8"/>
      <c r="AG50" s="17"/>
      <c r="AH50" s="17"/>
      <c r="AI50" s="17"/>
      <c r="AJ50" s="17"/>
      <c r="AK50" s="17"/>
      <c r="AL50" s="17"/>
      <c r="AM50" s="17"/>
      <c r="AN50" s="17"/>
      <c r="AO50" s="17"/>
      <c r="AP50" s="17"/>
      <c r="AQ50" s="17"/>
      <c r="AR50" s="17"/>
      <c r="AS50" s="17"/>
      <c r="AT50" s="17"/>
      <c r="AU50" s="17"/>
      <c r="AV50" s="17"/>
      <c r="AW50" s="17"/>
      <c r="AX50" s="17"/>
      <c r="AY50" s="17"/>
    </row>
    <row r="51" ht="17.45" customHeight="1">
      <c r="A51" t="s" s="13">
        <v>1486</v>
      </c>
      <c r="B51" s="17"/>
      <c r="C51" s="29">
        <v>19</v>
      </c>
      <c r="D51" t="s" s="13">
        <v>1394</v>
      </c>
      <c r="E51" t="s" s="13">
        <v>1487</v>
      </c>
      <c r="F51" t="s" s="13">
        <v>1490</v>
      </c>
      <c r="G51" s="36"/>
      <c r="H51" s="17"/>
      <c r="I51" s="29">
        <v>1</v>
      </c>
      <c r="J51" s="17"/>
      <c r="K51" s="17"/>
      <c r="L51" s="17"/>
      <c r="M51" s="29">
        <v>1</v>
      </c>
      <c r="N51" s="17"/>
      <c r="O51" s="17"/>
      <c r="P51" s="17"/>
      <c r="Q51" s="29">
        <v>8</v>
      </c>
      <c r="R51" s="17"/>
      <c r="S51" s="17"/>
      <c r="T51" s="17"/>
      <c r="U51" s="17"/>
      <c r="V51" s="17"/>
      <c r="W51" s="17"/>
      <c r="X51" t="s" s="13">
        <v>1105</v>
      </c>
      <c r="Y51" s="17"/>
      <c r="Z51" s="17"/>
      <c r="AA51" s="17"/>
      <c r="AB51" s="17"/>
      <c r="AC51" s="29">
        <v>1</v>
      </c>
      <c r="AD51" s="17"/>
      <c r="AE51" s="17"/>
      <c r="AF51" s="8"/>
      <c r="AG51" s="17"/>
      <c r="AH51" s="17"/>
      <c r="AI51" s="17"/>
      <c r="AJ51" s="17"/>
      <c r="AK51" s="17"/>
      <c r="AL51" s="17"/>
      <c r="AM51" s="17"/>
      <c r="AN51" s="17"/>
      <c r="AO51" s="17"/>
      <c r="AP51" s="17"/>
      <c r="AQ51" s="17"/>
      <c r="AR51" s="17"/>
      <c r="AS51" s="17"/>
      <c r="AT51" s="17"/>
      <c r="AU51" s="17"/>
      <c r="AV51" s="17"/>
      <c r="AW51" s="17"/>
      <c r="AX51" s="17"/>
      <c r="AY51" s="17"/>
    </row>
    <row r="52" ht="17.45" customHeight="1">
      <c r="A52" t="s" s="13">
        <v>1486</v>
      </c>
      <c r="B52" s="17"/>
      <c r="C52" s="29">
        <v>19</v>
      </c>
      <c r="D52" t="s" s="13">
        <v>1394</v>
      </c>
      <c r="E52" t="s" s="13">
        <v>1491</v>
      </c>
      <c r="F52" t="s" s="13">
        <v>1492</v>
      </c>
      <c r="G52" s="35">
        <v>1</v>
      </c>
      <c r="H52" s="17"/>
      <c r="I52" s="17"/>
      <c r="J52" s="17"/>
      <c r="K52" s="17"/>
      <c r="L52" s="17"/>
      <c r="M52" s="17"/>
      <c r="N52" s="17"/>
      <c r="O52" s="17"/>
      <c r="P52" s="29">
        <v>1</v>
      </c>
      <c r="Q52" s="29">
        <v>35</v>
      </c>
      <c r="R52" s="17"/>
      <c r="S52" s="29">
        <v>1</v>
      </c>
      <c r="T52" s="17"/>
      <c r="U52" s="17"/>
      <c r="V52" s="17"/>
      <c r="W52" s="17"/>
      <c r="X52" t="s" s="13">
        <v>1371</v>
      </c>
      <c r="Y52" s="17"/>
      <c r="Z52" s="29">
        <v>1</v>
      </c>
      <c r="AA52" s="17"/>
      <c r="AB52" s="29">
        <v>1</v>
      </c>
      <c r="AC52" s="17"/>
      <c r="AD52" t="s" s="13">
        <v>614</v>
      </c>
      <c r="AE52" s="17"/>
      <c r="AF52" s="8"/>
      <c r="AG52" s="17"/>
      <c r="AH52" s="17"/>
      <c r="AI52" s="17"/>
      <c r="AJ52" s="17"/>
      <c r="AK52" s="17"/>
      <c r="AL52" s="17"/>
      <c r="AM52" s="17"/>
      <c r="AN52" s="17"/>
      <c r="AO52" s="17"/>
      <c r="AP52" s="17"/>
      <c r="AQ52" s="17"/>
      <c r="AR52" s="17"/>
      <c r="AS52" s="17"/>
      <c r="AT52" s="17"/>
      <c r="AU52" s="17"/>
      <c r="AV52" s="17"/>
      <c r="AW52" s="17"/>
      <c r="AX52" s="17"/>
      <c r="AY52" s="17"/>
    </row>
    <row r="53" ht="17.45" customHeight="1">
      <c r="A53" t="s" s="13">
        <v>1486</v>
      </c>
      <c r="B53" s="17"/>
      <c r="C53" s="29">
        <v>19</v>
      </c>
      <c r="D53" t="s" s="13">
        <v>1394</v>
      </c>
      <c r="E53" t="s" s="13">
        <v>1493</v>
      </c>
      <c r="F53" t="s" s="13">
        <v>1494</v>
      </c>
      <c r="G53" s="35">
        <v>1</v>
      </c>
      <c r="H53" s="17"/>
      <c r="I53" s="17"/>
      <c r="J53" s="17"/>
      <c r="K53" s="17"/>
      <c r="L53" s="17"/>
      <c r="M53" s="17"/>
      <c r="N53" s="17"/>
      <c r="O53" s="17"/>
      <c r="P53" s="29">
        <v>1</v>
      </c>
      <c r="Q53" s="29">
        <v>24</v>
      </c>
      <c r="R53" s="17"/>
      <c r="S53" s="29">
        <v>1</v>
      </c>
      <c r="T53" s="17"/>
      <c r="U53" s="17"/>
      <c r="V53" s="17"/>
      <c r="W53" s="17"/>
      <c r="X53" t="s" s="13">
        <v>194</v>
      </c>
      <c r="Y53" s="17"/>
      <c r="Z53" s="29">
        <v>1</v>
      </c>
      <c r="AA53" s="17"/>
      <c r="AB53" s="29">
        <v>1</v>
      </c>
      <c r="AC53" s="29">
        <v>1</v>
      </c>
      <c r="AD53" s="17"/>
      <c r="AE53" s="17"/>
      <c r="AF53" s="8"/>
      <c r="AG53" s="17"/>
      <c r="AH53" s="17"/>
      <c r="AI53" s="17"/>
      <c r="AJ53" s="17"/>
      <c r="AK53" s="17"/>
      <c r="AL53" s="17"/>
      <c r="AM53" s="17"/>
      <c r="AN53" s="17"/>
      <c r="AO53" s="17"/>
      <c r="AP53" s="17"/>
      <c r="AQ53" s="17"/>
      <c r="AR53" s="17"/>
      <c r="AS53" s="17"/>
      <c r="AT53" s="17"/>
      <c r="AU53" s="17"/>
      <c r="AV53" s="17"/>
      <c r="AW53" s="17"/>
      <c r="AX53" s="17"/>
      <c r="AY53" s="17"/>
    </row>
    <row r="54" ht="17.45" customHeight="1">
      <c r="A54" t="s" s="13">
        <v>1495</v>
      </c>
      <c r="B54" t="s" s="13">
        <v>1496</v>
      </c>
      <c r="C54" s="29">
        <v>21</v>
      </c>
      <c r="D54" t="s" s="13">
        <v>1394</v>
      </c>
      <c r="E54" t="s" s="13">
        <v>1235</v>
      </c>
      <c r="F54" t="s" s="13">
        <v>1497</v>
      </c>
      <c r="G54" s="36"/>
      <c r="H54" s="78">
        <v>1</v>
      </c>
      <c r="I54" s="17"/>
      <c r="J54" s="17"/>
      <c r="K54" s="29">
        <v>1</v>
      </c>
      <c r="L54" s="17"/>
      <c r="M54" s="17"/>
      <c r="N54" s="17"/>
      <c r="O54" s="17"/>
      <c r="P54" s="17"/>
      <c r="Q54" s="29">
        <v>48</v>
      </c>
      <c r="R54" s="17"/>
      <c r="S54" s="29">
        <v>1</v>
      </c>
      <c r="T54" s="17"/>
      <c r="U54" s="17"/>
      <c r="V54" s="17"/>
      <c r="W54" s="17"/>
      <c r="X54" t="s" s="13">
        <v>1446</v>
      </c>
      <c r="Y54" s="17"/>
      <c r="Z54" s="29">
        <v>1</v>
      </c>
      <c r="AA54" s="29">
        <v>1</v>
      </c>
      <c r="AB54" s="17"/>
      <c r="AC54" s="29">
        <v>1</v>
      </c>
      <c r="AD54" s="17"/>
      <c r="AE54" s="17"/>
      <c r="AF54" s="8"/>
      <c r="AG54" s="17"/>
      <c r="AH54" s="17"/>
      <c r="AI54" s="17"/>
      <c r="AJ54" s="17"/>
      <c r="AK54" s="17"/>
      <c r="AL54" s="17"/>
      <c r="AM54" s="17"/>
      <c r="AN54" s="17"/>
      <c r="AO54" s="17"/>
      <c r="AP54" s="17"/>
      <c r="AQ54" s="17"/>
      <c r="AR54" s="17"/>
      <c r="AS54" s="17"/>
      <c r="AT54" s="17"/>
      <c r="AU54" s="17"/>
      <c r="AV54" s="17"/>
      <c r="AW54" s="17"/>
      <c r="AX54" s="17"/>
      <c r="AY54" s="17"/>
    </row>
    <row r="55" ht="17.45" customHeight="1">
      <c r="A55" t="s" s="13">
        <v>1495</v>
      </c>
      <c r="B55" t="s" s="13">
        <v>1496</v>
      </c>
      <c r="C55" s="29">
        <v>21</v>
      </c>
      <c r="D55" t="s" s="13">
        <v>1394</v>
      </c>
      <c r="E55" t="s" s="13">
        <v>1235</v>
      </c>
      <c r="F55" t="s" s="13">
        <v>1498</v>
      </c>
      <c r="G55" s="35">
        <v>1</v>
      </c>
      <c r="H55" s="17"/>
      <c r="I55" s="17"/>
      <c r="J55" s="17"/>
      <c r="K55" s="17"/>
      <c r="L55" s="29">
        <v>1</v>
      </c>
      <c r="M55" s="17"/>
      <c r="N55" s="17"/>
      <c r="O55" s="17"/>
      <c r="P55" s="17"/>
      <c r="Q55" s="29">
        <v>41</v>
      </c>
      <c r="R55" s="29">
        <v>1</v>
      </c>
      <c r="S55" s="17"/>
      <c r="T55" s="17"/>
      <c r="U55" s="29">
        <v>18</v>
      </c>
      <c r="V55" s="29">
        <v>3</v>
      </c>
      <c r="W55" s="29">
        <v>3</v>
      </c>
      <c r="X55" s="17"/>
      <c r="Y55" s="17"/>
      <c r="Z55" s="17"/>
      <c r="AA55" s="17"/>
      <c r="AB55" s="17"/>
      <c r="AC55" s="29">
        <v>1</v>
      </c>
      <c r="AD55" s="17"/>
      <c r="AE55" s="17"/>
      <c r="AF55" s="8"/>
      <c r="AG55" s="17"/>
      <c r="AH55" s="17"/>
      <c r="AI55" s="17"/>
      <c r="AJ55" s="17"/>
      <c r="AK55" s="17"/>
      <c r="AL55" s="17"/>
      <c r="AM55" s="17"/>
      <c r="AN55" s="17"/>
      <c r="AO55" s="17"/>
      <c r="AP55" s="17"/>
      <c r="AQ55" s="17"/>
      <c r="AR55" s="17"/>
      <c r="AS55" s="17"/>
      <c r="AT55" s="17"/>
      <c r="AU55" s="17"/>
      <c r="AV55" s="17"/>
      <c r="AW55" s="17"/>
      <c r="AX55" s="17"/>
      <c r="AY55" s="17"/>
    </row>
    <row r="56" ht="17.45" customHeight="1">
      <c r="A56" t="s" s="13">
        <v>1495</v>
      </c>
      <c r="B56" t="s" s="13">
        <v>1496</v>
      </c>
      <c r="C56" s="29">
        <v>21</v>
      </c>
      <c r="D56" t="s" s="13">
        <v>1394</v>
      </c>
      <c r="E56" t="s" s="13">
        <v>1235</v>
      </c>
      <c r="F56" t="s" s="13">
        <v>1499</v>
      </c>
      <c r="G56" s="36"/>
      <c r="H56" s="17"/>
      <c r="I56" s="29">
        <v>1</v>
      </c>
      <c r="J56" s="17"/>
      <c r="K56" s="17"/>
      <c r="L56" s="17"/>
      <c r="M56" s="29">
        <v>1</v>
      </c>
      <c r="N56" s="17"/>
      <c r="O56" s="17"/>
      <c r="P56" s="17"/>
      <c r="Q56" s="29">
        <v>15</v>
      </c>
      <c r="R56" s="17"/>
      <c r="S56" s="17"/>
      <c r="T56" s="17"/>
      <c r="U56" s="17"/>
      <c r="V56" s="17"/>
      <c r="W56" s="17"/>
      <c r="X56" t="s" s="13">
        <v>246</v>
      </c>
      <c r="Y56" s="17"/>
      <c r="Z56" s="17"/>
      <c r="AA56" s="17"/>
      <c r="AB56" s="17"/>
      <c r="AC56" s="29">
        <v>1</v>
      </c>
      <c r="AD56" s="17"/>
      <c r="AE56" s="17"/>
      <c r="AF56" s="8"/>
      <c r="AG56" s="17"/>
      <c r="AH56" s="17"/>
      <c r="AI56" s="17"/>
      <c r="AJ56" s="17"/>
      <c r="AK56" s="17"/>
      <c r="AL56" s="17"/>
      <c r="AM56" s="17"/>
      <c r="AN56" s="17"/>
      <c r="AO56" s="17"/>
      <c r="AP56" s="17"/>
      <c r="AQ56" s="17"/>
      <c r="AR56" s="17"/>
      <c r="AS56" s="17"/>
      <c r="AT56" s="17"/>
      <c r="AU56" s="17"/>
      <c r="AV56" s="17"/>
      <c r="AW56" s="17"/>
      <c r="AX56" s="17"/>
      <c r="AY56" s="17"/>
    </row>
    <row r="57" ht="17.45" customHeight="1">
      <c r="A57" t="s" s="13">
        <v>1495</v>
      </c>
      <c r="B57" t="s" s="13">
        <v>1496</v>
      </c>
      <c r="C57" s="29">
        <v>21</v>
      </c>
      <c r="D57" t="s" s="13">
        <v>1394</v>
      </c>
      <c r="E57" t="s" s="13">
        <v>1235</v>
      </c>
      <c r="F57" t="s" s="13">
        <v>1500</v>
      </c>
      <c r="G57" s="36"/>
      <c r="H57" s="17"/>
      <c r="I57" s="17"/>
      <c r="J57" s="29">
        <v>1</v>
      </c>
      <c r="K57" s="17"/>
      <c r="L57" s="17"/>
      <c r="M57" s="17"/>
      <c r="N57" s="29">
        <v>1</v>
      </c>
      <c r="O57" s="17"/>
      <c r="P57" s="17"/>
      <c r="Q57" s="29">
        <v>7</v>
      </c>
      <c r="R57" s="17"/>
      <c r="S57" s="17"/>
      <c r="T57" s="17"/>
      <c r="U57" s="17"/>
      <c r="V57" s="17"/>
      <c r="W57" s="17"/>
      <c r="X57" s="17"/>
      <c r="Y57" s="17"/>
      <c r="Z57" s="17"/>
      <c r="AA57" s="17"/>
      <c r="AB57" s="17"/>
      <c r="AC57" s="29">
        <v>1</v>
      </c>
      <c r="AD57" s="17"/>
      <c r="AE57" s="17"/>
      <c r="AF57" s="8"/>
      <c r="AG57" s="17"/>
      <c r="AH57" s="17"/>
      <c r="AI57" s="17"/>
      <c r="AJ57" s="17"/>
      <c r="AK57" s="17"/>
      <c r="AL57" s="17"/>
      <c r="AM57" s="17"/>
      <c r="AN57" s="17"/>
      <c r="AO57" s="17"/>
      <c r="AP57" s="17"/>
      <c r="AQ57" s="17"/>
      <c r="AR57" s="17"/>
      <c r="AS57" s="17"/>
      <c r="AT57" s="17"/>
      <c r="AU57" s="17"/>
      <c r="AV57" s="17"/>
      <c r="AW57" s="17"/>
      <c r="AX57" s="17"/>
      <c r="AY57" s="17"/>
    </row>
    <row r="58" ht="17.45" customHeight="1">
      <c r="A58" t="s" s="13">
        <v>1501</v>
      </c>
      <c r="B58" s="17"/>
      <c r="C58" s="29">
        <v>25</v>
      </c>
      <c r="D58" t="s" s="13">
        <v>1394</v>
      </c>
      <c r="E58" t="s" s="13">
        <v>1502</v>
      </c>
      <c r="F58" t="s" s="13">
        <v>1503</v>
      </c>
      <c r="G58" s="35">
        <v>1</v>
      </c>
      <c r="H58" s="17"/>
      <c r="I58" s="17"/>
      <c r="J58" s="17"/>
      <c r="K58" s="17"/>
      <c r="L58" s="17"/>
      <c r="M58" s="17"/>
      <c r="N58" s="17"/>
      <c r="O58" s="17"/>
      <c r="P58" s="29">
        <v>1</v>
      </c>
      <c r="Q58" s="29">
        <v>24</v>
      </c>
      <c r="R58" s="17"/>
      <c r="S58" s="29">
        <v>1</v>
      </c>
      <c r="T58" s="17"/>
      <c r="U58" s="17"/>
      <c r="V58" s="17"/>
      <c r="W58" s="17"/>
      <c r="X58" t="s" s="13">
        <v>576</v>
      </c>
      <c r="Y58" s="17"/>
      <c r="Z58" s="29">
        <v>1</v>
      </c>
      <c r="AA58" s="17"/>
      <c r="AB58" s="17"/>
      <c r="AC58" s="17"/>
      <c r="AD58" t="s" s="13">
        <v>449</v>
      </c>
      <c r="AE58" s="17"/>
      <c r="AF58" s="8"/>
      <c r="AG58" s="17"/>
      <c r="AH58" s="17"/>
      <c r="AI58" s="17"/>
      <c r="AJ58" s="17"/>
      <c r="AK58" s="17"/>
      <c r="AL58" s="17"/>
      <c r="AM58" s="17"/>
      <c r="AN58" s="17"/>
      <c r="AO58" s="17"/>
      <c r="AP58" s="17"/>
      <c r="AQ58" s="17"/>
      <c r="AR58" s="17"/>
      <c r="AS58" s="17"/>
      <c r="AT58" s="17"/>
      <c r="AU58" s="17"/>
      <c r="AV58" s="17"/>
      <c r="AW58" s="17"/>
      <c r="AX58" s="17"/>
      <c r="AY58" s="17"/>
    </row>
    <row r="59" ht="17.45" customHeight="1">
      <c r="A59" t="s" s="13">
        <v>1501</v>
      </c>
      <c r="B59" s="17"/>
      <c r="C59" s="29">
        <v>25</v>
      </c>
      <c r="D59" t="s" s="13">
        <v>1394</v>
      </c>
      <c r="E59" t="s" s="13">
        <v>1504</v>
      </c>
      <c r="F59" t="s" s="13">
        <v>1505</v>
      </c>
      <c r="G59" s="35">
        <v>1</v>
      </c>
      <c r="H59" s="17"/>
      <c r="I59" s="17"/>
      <c r="J59" s="17"/>
      <c r="K59" s="17"/>
      <c r="L59" s="17"/>
      <c r="M59" s="17"/>
      <c r="N59" s="17"/>
      <c r="O59" s="17"/>
      <c r="P59" s="29">
        <v>1</v>
      </c>
      <c r="Q59" s="29">
        <v>25</v>
      </c>
      <c r="R59" s="17"/>
      <c r="S59" s="29">
        <v>1</v>
      </c>
      <c r="T59" s="17"/>
      <c r="U59" s="17"/>
      <c r="V59" s="17"/>
      <c r="W59" s="17"/>
      <c r="X59" t="s" s="13">
        <v>159</v>
      </c>
      <c r="Y59" s="17"/>
      <c r="Z59" s="29">
        <v>1</v>
      </c>
      <c r="AA59" s="17"/>
      <c r="AB59" s="17"/>
      <c r="AC59" s="17"/>
      <c r="AD59" t="s" s="13">
        <v>1465</v>
      </c>
      <c r="AE59" s="17"/>
      <c r="AF59" s="8"/>
      <c r="AG59" s="17"/>
      <c r="AH59" s="17"/>
      <c r="AI59" s="17"/>
      <c r="AJ59" s="17"/>
      <c r="AK59" s="17"/>
      <c r="AL59" s="17"/>
      <c r="AM59" s="17"/>
      <c r="AN59" s="17"/>
      <c r="AO59" s="17"/>
      <c r="AP59" s="17"/>
      <c r="AQ59" s="17"/>
      <c r="AR59" s="17"/>
      <c r="AS59" s="17"/>
      <c r="AT59" s="17"/>
      <c r="AU59" s="17"/>
      <c r="AV59" s="17"/>
      <c r="AW59" s="17"/>
      <c r="AX59" s="17"/>
      <c r="AY59" s="17"/>
    </row>
    <row r="60" ht="17.45" customHeight="1">
      <c r="A60" t="s" s="13">
        <v>1501</v>
      </c>
      <c r="B60" s="17"/>
      <c r="C60" s="29">
        <v>25</v>
      </c>
      <c r="D60" t="s" s="13">
        <v>1394</v>
      </c>
      <c r="E60" t="s" s="13">
        <v>1506</v>
      </c>
      <c r="F60" t="s" s="13">
        <v>91</v>
      </c>
      <c r="G60" s="35">
        <v>1</v>
      </c>
      <c r="H60" s="17"/>
      <c r="I60" s="17"/>
      <c r="J60" s="17"/>
      <c r="K60" s="17"/>
      <c r="L60" s="17"/>
      <c r="M60" s="17"/>
      <c r="N60" s="17"/>
      <c r="O60" s="17"/>
      <c r="P60" s="29">
        <v>1</v>
      </c>
      <c r="Q60" s="29">
        <v>22</v>
      </c>
      <c r="R60" s="17"/>
      <c r="S60" s="29">
        <v>1</v>
      </c>
      <c r="T60" s="17"/>
      <c r="U60" s="17"/>
      <c r="V60" s="17"/>
      <c r="W60" s="17"/>
      <c r="X60" t="s" s="13">
        <v>162</v>
      </c>
      <c r="Y60" s="17"/>
      <c r="Z60" s="29">
        <v>1</v>
      </c>
      <c r="AA60" s="17"/>
      <c r="AB60" s="17"/>
      <c r="AC60" s="17"/>
      <c r="AD60" t="s" s="13">
        <v>449</v>
      </c>
      <c r="AE60" s="17"/>
      <c r="AF60" s="8"/>
      <c r="AG60" s="17"/>
      <c r="AH60" s="17"/>
      <c r="AI60" s="17"/>
      <c r="AJ60" s="17"/>
      <c r="AK60" s="17"/>
      <c r="AL60" s="17"/>
      <c r="AM60" s="17"/>
      <c r="AN60" s="17"/>
      <c r="AO60" s="17"/>
      <c r="AP60" s="17"/>
      <c r="AQ60" s="17"/>
      <c r="AR60" s="17"/>
      <c r="AS60" s="17"/>
      <c r="AT60" s="17"/>
      <c r="AU60" s="17"/>
      <c r="AV60" s="17"/>
      <c r="AW60" s="17"/>
      <c r="AX60" s="17"/>
      <c r="AY60" s="17"/>
    </row>
    <row r="61" ht="17.45" customHeight="1">
      <c r="A61" t="s" s="13">
        <v>1501</v>
      </c>
      <c r="B61" s="17"/>
      <c r="C61" s="29">
        <v>25</v>
      </c>
      <c r="D61" t="s" s="13">
        <v>1394</v>
      </c>
      <c r="E61" t="s" s="13">
        <v>1507</v>
      </c>
      <c r="F61" t="s" s="13">
        <v>1508</v>
      </c>
      <c r="G61" s="35">
        <v>1</v>
      </c>
      <c r="H61" s="17"/>
      <c r="I61" s="17"/>
      <c r="J61" s="17"/>
      <c r="K61" s="29">
        <v>1</v>
      </c>
      <c r="L61" s="17"/>
      <c r="M61" s="17"/>
      <c r="N61" s="17"/>
      <c r="O61" s="17"/>
      <c r="P61" s="17"/>
      <c r="Q61" s="29">
        <v>76</v>
      </c>
      <c r="R61" s="17"/>
      <c r="S61" s="29">
        <v>1</v>
      </c>
      <c r="T61" s="17"/>
      <c r="U61" s="17"/>
      <c r="V61" s="17"/>
      <c r="W61" s="17"/>
      <c r="X61" t="s" s="13">
        <v>456</v>
      </c>
      <c r="Y61" s="17"/>
      <c r="Z61" s="17"/>
      <c r="AA61" s="17"/>
      <c r="AB61" s="17"/>
      <c r="AC61" s="29">
        <v>1</v>
      </c>
      <c r="AD61" s="17"/>
      <c r="AE61" s="17"/>
      <c r="AF61" s="8"/>
      <c r="AG61" s="17"/>
      <c r="AH61" s="17"/>
      <c r="AI61" s="17"/>
      <c r="AJ61" s="17"/>
      <c r="AK61" s="17"/>
      <c r="AL61" s="17"/>
      <c r="AM61" s="17"/>
      <c r="AN61" s="17"/>
      <c r="AO61" s="17"/>
      <c r="AP61" s="17"/>
      <c r="AQ61" s="17"/>
      <c r="AR61" s="17"/>
      <c r="AS61" s="17"/>
      <c r="AT61" s="17"/>
      <c r="AU61" s="17"/>
      <c r="AV61" s="17"/>
      <c r="AW61" s="17"/>
      <c r="AX61" s="17"/>
      <c r="AY61" s="17"/>
    </row>
    <row r="62" ht="17.45" customHeight="1">
      <c r="A62" t="s" s="13">
        <v>1501</v>
      </c>
      <c r="B62" s="17"/>
      <c r="C62" s="29">
        <v>25</v>
      </c>
      <c r="D62" t="s" s="13">
        <v>1394</v>
      </c>
      <c r="E62" t="s" s="13">
        <v>1509</v>
      </c>
      <c r="F62" t="s" s="13">
        <v>746</v>
      </c>
      <c r="G62" s="35">
        <v>1</v>
      </c>
      <c r="H62" s="17"/>
      <c r="I62" s="17"/>
      <c r="J62" s="17"/>
      <c r="K62" s="17"/>
      <c r="L62" s="17"/>
      <c r="M62" s="17"/>
      <c r="N62" s="17"/>
      <c r="O62" s="29">
        <v>1</v>
      </c>
      <c r="P62" s="17"/>
      <c r="Q62" s="29">
        <v>54</v>
      </c>
      <c r="R62" s="17"/>
      <c r="S62" s="29">
        <v>1</v>
      </c>
      <c r="T62" s="17"/>
      <c r="U62" s="17"/>
      <c r="V62" s="17"/>
      <c r="W62" s="17"/>
      <c r="X62" t="s" s="13">
        <v>1510</v>
      </c>
      <c r="Y62" s="17"/>
      <c r="Z62" s="29">
        <v>1</v>
      </c>
      <c r="AA62" s="29">
        <v>1</v>
      </c>
      <c r="AB62" s="17"/>
      <c r="AC62" s="17"/>
      <c r="AD62" t="s" s="13">
        <v>1099</v>
      </c>
      <c r="AE62" s="17"/>
      <c r="AF62" s="8"/>
      <c r="AG62" s="17"/>
      <c r="AH62" s="17"/>
      <c r="AI62" s="17"/>
      <c r="AJ62" s="17"/>
      <c r="AK62" s="17"/>
      <c r="AL62" s="17"/>
      <c r="AM62" s="17"/>
      <c r="AN62" s="17"/>
      <c r="AO62" s="17"/>
      <c r="AP62" s="17"/>
      <c r="AQ62" s="17"/>
      <c r="AR62" s="17"/>
      <c r="AS62" s="17"/>
      <c r="AT62" s="17"/>
      <c r="AU62" s="17"/>
      <c r="AV62" s="17"/>
      <c r="AW62" s="17"/>
      <c r="AX62" s="17"/>
      <c r="AY62" s="17"/>
    </row>
    <row r="63" ht="17.45" customHeight="1">
      <c r="A63" t="s" s="13">
        <v>1501</v>
      </c>
      <c r="B63" s="17"/>
      <c r="C63" s="29">
        <v>25</v>
      </c>
      <c r="D63" t="s" s="13">
        <v>1394</v>
      </c>
      <c r="E63" t="s" s="13">
        <v>1511</v>
      </c>
      <c r="F63" t="s" s="13">
        <v>1512</v>
      </c>
      <c r="G63" s="35">
        <v>1</v>
      </c>
      <c r="H63" s="17"/>
      <c r="I63" s="17"/>
      <c r="J63" s="17"/>
      <c r="K63" s="17"/>
      <c r="L63" s="17"/>
      <c r="M63" s="17"/>
      <c r="N63" s="17"/>
      <c r="O63" s="17"/>
      <c r="P63" s="29">
        <v>1</v>
      </c>
      <c r="Q63" s="29">
        <v>35</v>
      </c>
      <c r="R63" s="17"/>
      <c r="S63" s="29">
        <v>1</v>
      </c>
      <c r="T63" s="17"/>
      <c r="U63" s="17"/>
      <c r="V63" s="17"/>
      <c r="W63" s="17"/>
      <c r="X63" t="s" s="13">
        <v>747</v>
      </c>
      <c r="Y63" s="17"/>
      <c r="Z63" s="29">
        <v>1</v>
      </c>
      <c r="AA63" s="29">
        <v>1</v>
      </c>
      <c r="AB63" s="17"/>
      <c r="AC63" s="17"/>
      <c r="AD63" t="s" s="13">
        <v>435</v>
      </c>
      <c r="AE63" s="17"/>
      <c r="AF63" s="8"/>
      <c r="AG63" s="17"/>
      <c r="AH63" s="17"/>
      <c r="AI63" s="17"/>
      <c r="AJ63" s="17"/>
      <c r="AK63" s="17"/>
      <c r="AL63" s="17"/>
      <c r="AM63" s="17"/>
      <c r="AN63" s="17"/>
      <c r="AO63" s="17"/>
      <c r="AP63" s="17"/>
      <c r="AQ63" s="17"/>
      <c r="AR63" s="17"/>
      <c r="AS63" s="17"/>
      <c r="AT63" s="17"/>
      <c r="AU63" s="17"/>
      <c r="AV63" s="17"/>
      <c r="AW63" s="17"/>
      <c r="AX63" s="17"/>
      <c r="AY63" s="17"/>
    </row>
    <row r="64" ht="17.45" customHeight="1">
      <c r="A64" t="s" s="13">
        <v>1501</v>
      </c>
      <c r="B64" s="17"/>
      <c r="C64" s="29">
        <v>25</v>
      </c>
      <c r="D64" t="s" s="13">
        <v>1394</v>
      </c>
      <c r="E64" t="s" s="13">
        <v>1513</v>
      </c>
      <c r="F64" t="s" s="13">
        <v>49</v>
      </c>
      <c r="G64" s="35">
        <v>1</v>
      </c>
      <c r="H64" s="17"/>
      <c r="I64" s="17"/>
      <c r="J64" s="17"/>
      <c r="K64" s="17"/>
      <c r="L64" s="17"/>
      <c r="M64" s="17"/>
      <c r="N64" s="17"/>
      <c r="O64" s="17"/>
      <c r="P64" s="29">
        <v>1</v>
      </c>
      <c r="Q64" s="29">
        <v>42</v>
      </c>
      <c r="R64" s="17"/>
      <c r="S64" s="29">
        <v>1</v>
      </c>
      <c r="T64" s="17"/>
      <c r="U64" s="17"/>
      <c r="V64" s="17"/>
      <c r="W64" s="17"/>
      <c r="X64" t="s" s="13">
        <v>159</v>
      </c>
      <c r="Y64" s="17"/>
      <c r="Z64" s="29">
        <v>1</v>
      </c>
      <c r="AA64" s="29">
        <v>1</v>
      </c>
      <c r="AB64" s="17"/>
      <c r="AC64" s="17"/>
      <c r="AD64" t="s" s="13">
        <v>429</v>
      </c>
      <c r="AE64" s="17"/>
      <c r="AF64" s="8"/>
      <c r="AG64" s="17"/>
      <c r="AH64" s="17"/>
      <c r="AI64" s="17"/>
      <c r="AJ64" s="17"/>
      <c r="AK64" s="17"/>
      <c r="AL64" s="17"/>
      <c r="AM64" s="17"/>
      <c r="AN64" s="17"/>
      <c r="AO64" s="17"/>
      <c r="AP64" s="17"/>
      <c r="AQ64" s="17"/>
      <c r="AR64" s="17"/>
      <c r="AS64" s="17"/>
      <c r="AT64" s="17"/>
      <c r="AU64" s="17"/>
      <c r="AV64" s="17"/>
      <c r="AW64" s="17"/>
      <c r="AX64" s="17"/>
      <c r="AY64" s="17"/>
    </row>
    <row r="65" ht="17.45" customHeight="1">
      <c r="A65" t="s" s="13">
        <v>1501</v>
      </c>
      <c r="B65" s="17"/>
      <c r="C65" s="29">
        <v>25</v>
      </c>
      <c r="D65" t="s" s="13">
        <v>1394</v>
      </c>
      <c r="E65" t="s" s="13">
        <v>1514</v>
      </c>
      <c r="F65" t="s" s="13">
        <v>154</v>
      </c>
      <c r="G65" s="35">
        <v>1</v>
      </c>
      <c r="H65" s="17"/>
      <c r="I65" s="17"/>
      <c r="J65" s="17"/>
      <c r="K65" s="17"/>
      <c r="L65" s="17"/>
      <c r="M65" s="17"/>
      <c r="N65" s="17"/>
      <c r="O65" s="17"/>
      <c r="P65" s="29">
        <v>1</v>
      </c>
      <c r="Q65" s="29">
        <v>28</v>
      </c>
      <c r="R65" s="17"/>
      <c r="S65" s="29">
        <v>1</v>
      </c>
      <c r="T65" s="17"/>
      <c r="U65" s="17"/>
      <c r="V65" s="17"/>
      <c r="W65" s="17"/>
      <c r="X65" t="s" s="13">
        <v>165</v>
      </c>
      <c r="Y65" s="17"/>
      <c r="Z65" s="29">
        <v>1</v>
      </c>
      <c r="AA65" s="29">
        <v>1</v>
      </c>
      <c r="AB65" s="17"/>
      <c r="AC65" s="29">
        <v>1</v>
      </c>
      <c r="AD65" s="17"/>
      <c r="AE65" s="17"/>
      <c r="AF65" s="8"/>
      <c r="AG65" s="17"/>
      <c r="AH65" s="17"/>
      <c r="AI65" s="17"/>
      <c r="AJ65" s="17"/>
      <c r="AK65" s="17"/>
      <c r="AL65" s="17"/>
      <c r="AM65" s="17"/>
      <c r="AN65" s="17"/>
      <c r="AO65" s="17"/>
      <c r="AP65" s="17"/>
      <c r="AQ65" s="17"/>
      <c r="AR65" s="17"/>
      <c r="AS65" s="17"/>
      <c r="AT65" s="17"/>
      <c r="AU65" s="17"/>
      <c r="AV65" s="17"/>
      <c r="AW65" s="17"/>
      <c r="AX65" s="17"/>
      <c r="AY65" s="17"/>
    </row>
    <row r="66" ht="17.45" customHeight="1">
      <c r="A66" t="s" s="13">
        <v>1515</v>
      </c>
      <c r="B66" t="s" s="13">
        <v>1516</v>
      </c>
      <c r="C66" s="29">
        <v>27</v>
      </c>
      <c r="D66" t="s" s="13">
        <v>1394</v>
      </c>
      <c r="E66" t="s" s="13">
        <v>1517</v>
      </c>
      <c r="F66" t="s" s="13">
        <v>1518</v>
      </c>
      <c r="G66" s="36"/>
      <c r="H66" s="78">
        <v>1</v>
      </c>
      <c r="I66" s="17"/>
      <c r="J66" s="17"/>
      <c r="K66" s="29">
        <v>1</v>
      </c>
      <c r="L66" s="17"/>
      <c r="M66" s="17"/>
      <c r="N66" s="17"/>
      <c r="O66" s="17"/>
      <c r="P66" s="17"/>
      <c r="Q66" s="29">
        <v>79</v>
      </c>
      <c r="R66" s="17"/>
      <c r="S66" s="17"/>
      <c r="T66" s="29">
        <v>1</v>
      </c>
      <c r="U66" s="17"/>
      <c r="V66" s="17"/>
      <c r="W66" s="17"/>
      <c r="X66" t="s" s="13">
        <v>1519</v>
      </c>
      <c r="Y66" t="s" s="13">
        <v>1520</v>
      </c>
      <c r="Z66" s="17"/>
      <c r="AA66" s="17"/>
      <c r="AB66" s="17"/>
      <c r="AC66" s="17"/>
      <c r="AD66" t="s" s="13">
        <v>1521</v>
      </c>
      <c r="AE66" s="17"/>
      <c r="AF66" s="8"/>
      <c r="AG66" s="17"/>
      <c r="AH66" s="17"/>
      <c r="AI66" s="17"/>
      <c r="AJ66" s="17"/>
      <c r="AK66" s="17"/>
      <c r="AL66" s="17"/>
      <c r="AM66" s="17"/>
      <c r="AN66" s="17"/>
      <c r="AO66" s="17"/>
      <c r="AP66" s="17"/>
      <c r="AQ66" s="17"/>
      <c r="AR66" s="17"/>
      <c r="AS66" s="17"/>
      <c r="AT66" s="17"/>
      <c r="AU66" s="17"/>
      <c r="AV66" s="17"/>
      <c r="AW66" s="17"/>
      <c r="AX66" s="17"/>
      <c r="AY66" s="17"/>
    </row>
    <row r="67" ht="17.45" customHeight="1">
      <c r="A67" t="s" s="13">
        <v>1515</v>
      </c>
      <c r="B67" t="s" s="13">
        <v>1516</v>
      </c>
      <c r="C67" s="29">
        <v>27</v>
      </c>
      <c r="D67" t="s" s="13">
        <v>1394</v>
      </c>
      <c r="E67" t="s" s="13">
        <v>1517</v>
      </c>
      <c r="F67" t="s" s="13">
        <v>686</v>
      </c>
      <c r="G67" s="35">
        <v>1</v>
      </c>
      <c r="H67" s="17"/>
      <c r="I67" s="17"/>
      <c r="J67" s="17"/>
      <c r="K67" s="17"/>
      <c r="L67" s="17"/>
      <c r="M67" s="29">
        <v>1</v>
      </c>
      <c r="N67" s="17"/>
      <c r="O67" s="17"/>
      <c r="P67" s="17"/>
      <c r="Q67" s="29">
        <v>52</v>
      </c>
      <c r="R67" s="17"/>
      <c r="S67" s="29">
        <v>1</v>
      </c>
      <c r="T67" s="17"/>
      <c r="U67" s="17"/>
      <c r="V67" s="17"/>
      <c r="W67" s="17"/>
      <c r="X67" s="17"/>
      <c r="Y67" s="17"/>
      <c r="Z67" s="17"/>
      <c r="AA67" s="17"/>
      <c r="AB67" s="17"/>
      <c r="AC67" s="17"/>
      <c r="AD67" t="s" s="13">
        <v>1471</v>
      </c>
      <c r="AE67" s="17"/>
      <c r="AF67" s="8"/>
      <c r="AG67" s="17"/>
      <c r="AH67" s="17"/>
      <c r="AI67" s="17"/>
      <c r="AJ67" s="17"/>
      <c r="AK67" s="17"/>
      <c r="AL67" s="17"/>
      <c r="AM67" s="17"/>
      <c r="AN67" s="17"/>
      <c r="AO67" s="17"/>
      <c r="AP67" s="17"/>
      <c r="AQ67" s="17"/>
      <c r="AR67" s="17"/>
      <c r="AS67" s="17"/>
      <c r="AT67" s="17"/>
      <c r="AU67" s="17"/>
      <c r="AV67" s="17"/>
      <c r="AW67" s="17"/>
      <c r="AX67" s="17"/>
      <c r="AY67" s="17"/>
    </row>
    <row r="68" ht="17.45" customHeight="1">
      <c r="A68" t="s" s="13">
        <v>1515</v>
      </c>
      <c r="B68" t="s" s="13">
        <v>1516</v>
      </c>
      <c r="C68" s="29">
        <v>27</v>
      </c>
      <c r="D68" t="s" s="13">
        <v>1394</v>
      </c>
      <c r="E68" t="s" s="13">
        <v>1522</v>
      </c>
      <c r="F68" t="s" s="13">
        <v>1523</v>
      </c>
      <c r="G68" s="35">
        <v>1</v>
      </c>
      <c r="H68" s="17"/>
      <c r="I68" s="17"/>
      <c r="J68" s="17"/>
      <c r="K68" s="17"/>
      <c r="L68" s="17"/>
      <c r="M68" s="29">
        <v>1</v>
      </c>
      <c r="N68" s="17"/>
      <c r="O68" s="17"/>
      <c r="P68" s="17"/>
      <c r="Q68" s="29">
        <v>57</v>
      </c>
      <c r="R68" s="17"/>
      <c r="S68" s="29">
        <v>1</v>
      </c>
      <c r="T68" s="17"/>
      <c r="U68" s="17"/>
      <c r="V68" s="17"/>
      <c r="W68" s="17"/>
      <c r="X68" s="17"/>
      <c r="Y68" s="17"/>
      <c r="Z68" s="17"/>
      <c r="AA68" s="17"/>
      <c r="AB68" s="17"/>
      <c r="AC68" s="17"/>
      <c r="AD68" t="s" s="13">
        <v>1524</v>
      </c>
      <c r="AE68" s="17"/>
      <c r="AF68" s="8"/>
      <c r="AG68" s="17"/>
      <c r="AH68" s="17"/>
      <c r="AI68" s="17"/>
      <c r="AJ68" s="17"/>
      <c r="AK68" s="17"/>
      <c r="AL68" s="17"/>
      <c r="AM68" s="17"/>
      <c r="AN68" s="17"/>
      <c r="AO68" s="17"/>
      <c r="AP68" s="17"/>
      <c r="AQ68" s="17"/>
      <c r="AR68" s="17"/>
      <c r="AS68" s="17"/>
      <c r="AT68" s="17"/>
      <c r="AU68" s="17"/>
      <c r="AV68" s="17"/>
      <c r="AW68" s="17"/>
      <c r="AX68" s="17"/>
      <c r="AY68" s="17"/>
    </row>
    <row r="69" ht="17.45" customHeight="1">
      <c r="A69" t="s" s="13">
        <v>1515</v>
      </c>
      <c r="B69" t="s" s="13">
        <v>1516</v>
      </c>
      <c r="C69" s="29">
        <v>27</v>
      </c>
      <c r="D69" t="s" s="13">
        <v>1394</v>
      </c>
      <c r="E69" t="s" s="13">
        <v>1522</v>
      </c>
      <c r="F69" t="s" s="13">
        <v>1525</v>
      </c>
      <c r="G69" s="35">
        <v>1</v>
      </c>
      <c r="H69" s="17"/>
      <c r="I69" s="17"/>
      <c r="J69" s="17"/>
      <c r="K69" s="17"/>
      <c r="L69" s="17"/>
      <c r="M69" s="29">
        <v>1</v>
      </c>
      <c r="N69" s="17"/>
      <c r="O69" s="17"/>
      <c r="P69" s="17"/>
      <c r="Q69" s="29">
        <v>42</v>
      </c>
      <c r="R69" s="17"/>
      <c r="S69" s="29">
        <v>1</v>
      </c>
      <c r="T69" s="17"/>
      <c r="U69" s="17"/>
      <c r="V69" s="17"/>
      <c r="W69" s="17"/>
      <c r="X69" s="17"/>
      <c r="Y69" s="17"/>
      <c r="Z69" s="17"/>
      <c r="AA69" s="17"/>
      <c r="AB69" s="17"/>
      <c r="AC69" s="17"/>
      <c r="AD69" t="s" s="13">
        <v>1437</v>
      </c>
      <c r="AE69" s="17"/>
      <c r="AF69" s="8"/>
      <c r="AG69" s="17"/>
      <c r="AH69" s="17"/>
      <c r="AI69" s="17"/>
      <c r="AJ69" s="17"/>
      <c r="AK69" s="17"/>
      <c r="AL69" s="17"/>
      <c r="AM69" s="17"/>
      <c r="AN69" s="17"/>
      <c r="AO69" s="17"/>
      <c r="AP69" s="17"/>
      <c r="AQ69" s="17"/>
      <c r="AR69" s="17"/>
      <c r="AS69" s="17"/>
      <c r="AT69" s="17"/>
      <c r="AU69" s="17"/>
      <c r="AV69" s="17"/>
      <c r="AW69" s="17"/>
      <c r="AX69" s="17"/>
      <c r="AY69" s="17"/>
    </row>
    <row r="70" ht="17.45" customHeight="1">
      <c r="A70" t="s" s="13">
        <v>1515</v>
      </c>
      <c r="B70" t="s" s="13">
        <v>1516</v>
      </c>
      <c r="C70" s="29">
        <v>27</v>
      </c>
      <c r="D70" t="s" s="13">
        <v>1394</v>
      </c>
      <c r="E70" t="s" s="13">
        <v>882</v>
      </c>
      <c r="F70" t="s" s="13">
        <v>680</v>
      </c>
      <c r="G70" s="35">
        <v>1</v>
      </c>
      <c r="H70" s="17"/>
      <c r="I70" s="17"/>
      <c r="J70" s="17"/>
      <c r="K70" s="17"/>
      <c r="L70" s="17"/>
      <c r="M70" s="17"/>
      <c r="N70" s="17"/>
      <c r="O70" s="17"/>
      <c r="P70" s="29">
        <v>1</v>
      </c>
      <c r="Q70" s="29">
        <v>41</v>
      </c>
      <c r="R70" s="17"/>
      <c r="S70" s="29">
        <v>1</v>
      </c>
      <c r="T70" s="17"/>
      <c r="U70" s="17"/>
      <c r="V70" s="17"/>
      <c r="W70" s="17"/>
      <c r="X70" t="s" s="13">
        <v>1526</v>
      </c>
      <c r="Y70" s="17"/>
      <c r="Z70" s="29">
        <v>1</v>
      </c>
      <c r="AA70" s="17"/>
      <c r="AB70" s="17"/>
      <c r="AC70" s="17"/>
      <c r="AD70" t="s" s="13">
        <v>449</v>
      </c>
      <c r="AE70" s="17"/>
      <c r="AF70" s="8"/>
      <c r="AG70" s="17"/>
      <c r="AH70" s="17"/>
      <c r="AI70" s="17"/>
      <c r="AJ70" s="17"/>
      <c r="AK70" s="17"/>
      <c r="AL70" s="17"/>
      <c r="AM70" s="17"/>
      <c r="AN70" s="17"/>
      <c r="AO70" s="17"/>
      <c r="AP70" s="17"/>
      <c r="AQ70" s="17"/>
      <c r="AR70" s="17"/>
      <c r="AS70" s="17"/>
      <c r="AT70" s="17"/>
      <c r="AU70" s="17"/>
      <c r="AV70" s="17"/>
      <c r="AW70" s="17"/>
      <c r="AX70" s="17"/>
      <c r="AY70" s="17"/>
    </row>
    <row r="71" ht="17.45" customHeight="1">
      <c r="A71" t="s" s="13">
        <v>1515</v>
      </c>
      <c r="B71" t="s" s="13">
        <v>1516</v>
      </c>
      <c r="C71" s="29">
        <v>27</v>
      </c>
      <c r="D71" t="s" s="13">
        <v>1394</v>
      </c>
      <c r="E71" t="s" s="13">
        <v>1527</v>
      </c>
      <c r="F71" t="s" s="13">
        <v>713</v>
      </c>
      <c r="G71" s="35">
        <v>1</v>
      </c>
      <c r="H71" s="17"/>
      <c r="I71" s="17"/>
      <c r="J71" s="17"/>
      <c r="K71" s="17"/>
      <c r="L71" s="17"/>
      <c r="M71" s="17"/>
      <c r="N71" s="17"/>
      <c r="O71" s="17"/>
      <c r="P71" s="29">
        <v>1</v>
      </c>
      <c r="Q71" s="29">
        <v>38</v>
      </c>
      <c r="R71" s="17"/>
      <c r="S71" s="29">
        <v>1</v>
      </c>
      <c r="T71" s="17"/>
      <c r="U71" s="17"/>
      <c r="V71" s="17"/>
      <c r="W71" s="17"/>
      <c r="X71" t="s" s="13">
        <v>194</v>
      </c>
      <c r="Y71" s="17"/>
      <c r="Z71" s="29">
        <v>1</v>
      </c>
      <c r="AA71" s="17"/>
      <c r="AB71" s="17"/>
      <c r="AC71" s="29">
        <v>1</v>
      </c>
      <c r="AD71" s="17"/>
      <c r="AE71" s="17"/>
      <c r="AF71" s="8"/>
      <c r="AG71" s="17"/>
      <c r="AH71" s="17"/>
      <c r="AI71" s="17"/>
      <c r="AJ71" s="17"/>
      <c r="AK71" s="17"/>
      <c r="AL71" s="17"/>
      <c r="AM71" s="17"/>
      <c r="AN71" s="17"/>
      <c r="AO71" s="17"/>
      <c r="AP71" s="17"/>
      <c r="AQ71" s="17"/>
      <c r="AR71" s="17"/>
      <c r="AS71" s="17"/>
      <c r="AT71" s="17"/>
      <c r="AU71" s="17"/>
      <c r="AV71" s="17"/>
      <c r="AW71" s="17"/>
      <c r="AX71" s="17"/>
      <c r="AY71" s="17"/>
    </row>
    <row r="72" ht="17.45" customHeight="1">
      <c r="A72" t="s" s="13">
        <v>1515</v>
      </c>
      <c r="B72" t="s" s="13">
        <v>1516</v>
      </c>
      <c r="C72" s="29">
        <v>27</v>
      </c>
      <c r="D72" t="s" s="13">
        <v>1394</v>
      </c>
      <c r="E72" t="s" s="13">
        <v>1528</v>
      </c>
      <c r="F72" t="s" s="13">
        <v>1529</v>
      </c>
      <c r="G72" s="35">
        <v>1</v>
      </c>
      <c r="H72" s="17"/>
      <c r="I72" s="17"/>
      <c r="J72" s="17"/>
      <c r="K72" s="17"/>
      <c r="L72" s="17"/>
      <c r="M72" s="17"/>
      <c r="N72" s="17"/>
      <c r="O72" s="17"/>
      <c r="P72" s="29">
        <v>1</v>
      </c>
      <c r="Q72" s="29">
        <v>27</v>
      </c>
      <c r="R72" s="17"/>
      <c r="S72" s="29">
        <v>1</v>
      </c>
      <c r="T72" s="17"/>
      <c r="U72" s="17"/>
      <c r="V72" s="17"/>
      <c r="W72" s="17"/>
      <c r="X72" t="s" s="13">
        <v>191</v>
      </c>
      <c r="Y72" s="17"/>
      <c r="Z72" s="29">
        <v>1</v>
      </c>
      <c r="AA72" s="17"/>
      <c r="AB72" s="17"/>
      <c r="AC72" s="17"/>
      <c r="AD72" t="s" s="13">
        <v>435</v>
      </c>
      <c r="AE72" s="17"/>
      <c r="AF72" s="8"/>
      <c r="AG72" s="17"/>
      <c r="AH72" s="17"/>
      <c r="AI72" s="17"/>
      <c r="AJ72" s="17"/>
      <c r="AK72" s="17"/>
      <c r="AL72" s="17"/>
      <c r="AM72" s="17"/>
      <c r="AN72" s="17"/>
      <c r="AO72" s="17"/>
      <c r="AP72" s="17"/>
      <c r="AQ72" s="17"/>
      <c r="AR72" s="17"/>
      <c r="AS72" s="17"/>
      <c r="AT72" s="17"/>
      <c r="AU72" s="17"/>
      <c r="AV72" s="17"/>
      <c r="AW72" s="17"/>
      <c r="AX72" s="17"/>
      <c r="AY72" s="17"/>
    </row>
    <row r="73" ht="17.45" customHeight="1">
      <c r="A73" t="s" s="13">
        <v>1515</v>
      </c>
      <c r="B73" t="s" s="13">
        <v>1516</v>
      </c>
      <c r="C73" s="29">
        <v>27</v>
      </c>
      <c r="D73" t="s" s="13">
        <v>1394</v>
      </c>
      <c r="E73" t="s" s="13">
        <v>1530</v>
      </c>
      <c r="F73" t="s" s="13">
        <v>154</v>
      </c>
      <c r="G73" s="35">
        <v>1</v>
      </c>
      <c r="H73" s="17"/>
      <c r="I73" s="17"/>
      <c r="J73" s="17"/>
      <c r="K73" s="17"/>
      <c r="L73" s="17"/>
      <c r="M73" s="17"/>
      <c r="N73" s="17"/>
      <c r="O73" s="17"/>
      <c r="P73" s="29">
        <v>1</v>
      </c>
      <c r="Q73" s="29">
        <v>19</v>
      </c>
      <c r="R73" s="17"/>
      <c r="S73" s="29">
        <v>1</v>
      </c>
      <c r="T73" s="17"/>
      <c r="U73" s="17"/>
      <c r="V73" s="17"/>
      <c r="W73" s="17"/>
      <c r="X73" t="s" s="13">
        <v>1531</v>
      </c>
      <c r="Y73" s="17"/>
      <c r="Z73" s="29">
        <v>1</v>
      </c>
      <c r="AA73" s="17"/>
      <c r="AB73" s="17"/>
      <c r="AC73" s="17"/>
      <c r="AD73" t="s" s="13">
        <v>240</v>
      </c>
      <c r="AE73" s="17"/>
      <c r="AF73" s="8"/>
      <c r="AG73" s="17"/>
      <c r="AH73" s="17"/>
      <c r="AI73" s="17"/>
      <c r="AJ73" s="17"/>
      <c r="AK73" s="17"/>
      <c r="AL73" s="17"/>
      <c r="AM73" s="17"/>
      <c r="AN73" s="17"/>
      <c r="AO73" s="17"/>
      <c r="AP73" s="17"/>
      <c r="AQ73" s="17"/>
      <c r="AR73" s="17"/>
      <c r="AS73" s="17"/>
      <c r="AT73" s="17"/>
      <c r="AU73" s="17"/>
      <c r="AV73" s="17"/>
      <c r="AW73" s="17"/>
      <c r="AX73" s="17"/>
      <c r="AY73" s="17"/>
    </row>
    <row r="74" ht="17.45" customHeight="1">
      <c r="A74" t="s" s="13">
        <v>1515</v>
      </c>
      <c r="B74" t="s" s="13">
        <v>1516</v>
      </c>
      <c r="C74" s="29">
        <v>27</v>
      </c>
      <c r="D74" t="s" s="13">
        <v>1394</v>
      </c>
      <c r="E74" t="s" s="13">
        <v>1532</v>
      </c>
      <c r="F74" t="s" s="13">
        <v>260</v>
      </c>
      <c r="G74" s="35">
        <v>1</v>
      </c>
      <c r="H74" s="17"/>
      <c r="I74" s="17"/>
      <c r="J74" s="17"/>
      <c r="K74" s="17"/>
      <c r="L74" s="17"/>
      <c r="M74" s="17"/>
      <c r="N74" s="17"/>
      <c r="O74" s="17"/>
      <c r="P74" s="29">
        <v>1</v>
      </c>
      <c r="Q74" s="29">
        <v>22</v>
      </c>
      <c r="R74" s="17"/>
      <c r="S74" s="29">
        <v>1</v>
      </c>
      <c r="T74" s="17"/>
      <c r="U74" s="17"/>
      <c r="V74" s="17"/>
      <c r="W74" s="17"/>
      <c r="X74" t="s" s="13">
        <v>194</v>
      </c>
      <c r="Y74" s="17"/>
      <c r="Z74" s="29">
        <v>1</v>
      </c>
      <c r="AA74" s="17"/>
      <c r="AB74" s="17"/>
      <c r="AC74" s="17"/>
      <c r="AD74" t="s" s="13">
        <v>1533</v>
      </c>
      <c r="AE74" s="17"/>
      <c r="AF74" s="8"/>
      <c r="AG74" s="17"/>
      <c r="AH74" s="17"/>
      <c r="AI74" s="17"/>
      <c r="AJ74" s="17"/>
      <c r="AK74" s="17"/>
      <c r="AL74" s="17"/>
      <c r="AM74" s="17"/>
      <c r="AN74" s="17"/>
      <c r="AO74" s="17"/>
      <c r="AP74" s="17"/>
      <c r="AQ74" s="17"/>
      <c r="AR74" s="17"/>
      <c r="AS74" s="17"/>
      <c r="AT74" s="17"/>
      <c r="AU74" s="17"/>
      <c r="AV74" s="17"/>
      <c r="AW74" s="17"/>
      <c r="AX74" s="17"/>
      <c r="AY74" s="17"/>
    </row>
    <row r="75" ht="17.45" customHeight="1">
      <c r="A75" t="s" s="13">
        <v>1515</v>
      </c>
      <c r="B75" t="s" s="13">
        <v>1516</v>
      </c>
      <c r="C75" s="29">
        <v>27</v>
      </c>
      <c r="D75" t="s" s="13">
        <v>1394</v>
      </c>
      <c r="E75" t="s" s="13">
        <v>1534</v>
      </c>
      <c r="F75" t="s" s="13">
        <v>1535</v>
      </c>
      <c r="G75" s="35">
        <v>1</v>
      </c>
      <c r="H75" s="17"/>
      <c r="I75" s="17"/>
      <c r="J75" s="17"/>
      <c r="K75" s="17"/>
      <c r="L75" s="17"/>
      <c r="M75" s="17"/>
      <c r="N75" s="17"/>
      <c r="O75" s="17"/>
      <c r="P75" s="29">
        <v>1</v>
      </c>
      <c r="Q75" s="29">
        <v>28</v>
      </c>
      <c r="R75" s="17"/>
      <c r="S75" s="29">
        <v>1</v>
      </c>
      <c r="T75" s="17"/>
      <c r="U75" s="17"/>
      <c r="V75" s="17"/>
      <c r="W75" s="17"/>
      <c r="X75" t="s" s="13">
        <v>1408</v>
      </c>
      <c r="Y75" s="17"/>
      <c r="Z75" s="29">
        <v>1</v>
      </c>
      <c r="AA75" s="17"/>
      <c r="AB75" s="17"/>
      <c r="AC75" s="17"/>
      <c r="AD75" t="s" s="13">
        <v>1536</v>
      </c>
      <c r="AE75" s="17"/>
      <c r="AF75" s="8"/>
      <c r="AG75" s="17"/>
      <c r="AH75" s="17"/>
      <c r="AI75" s="17"/>
      <c r="AJ75" s="17"/>
      <c r="AK75" s="17"/>
      <c r="AL75" s="17"/>
      <c r="AM75" s="17"/>
      <c r="AN75" s="17"/>
      <c r="AO75" s="17"/>
      <c r="AP75" s="17"/>
      <c r="AQ75" s="17"/>
      <c r="AR75" s="17"/>
      <c r="AS75" s="17"/>
      <c r="AT75" s="17"/>
      <c r="AU75" s="17"/>
      <c r="AV75" s="17"/>
      <c r="AW75" s="17"/>
      <c r="AX75" s="17"/>
      <c r="AY75" s="17"/>
    </row>
    <row r="76" ht="17.45" customHeight="1">
      <c r="A76" t="s" s="13">
        <v>1537</v>
      </c>
      <c r="B76" s="17"/>
      <c r="C76" s="29">
        <v>29</v>
      </c>
      <c r="D76" t="s" s="13">
        <v>1394</v>
      </c>
      <c r="E76" t="s" s="13">
        <v>1538</v>
      </c>
      <c r="F76" t="s" s="13">
        <v>1191</v>
      </c>
      <c r="G76" s="36"/>
      <c r="H76" s="78">
        <v>1</v>
      </c>
      <c r="I76" s="17"/>
      <c r="J76" s="17"/>
      <c r="K76" s="29">
        <v>1</v>
      </c>
      <c r="L76" s="17"/>
      <c r="M76" s="17"/>
      <c r="N76" s="17"/>
      <c r="O76" s="17"/>
      <c r="P76" s="17"/>
      <c r="Q76" s="29">
        <v>74</v>
      </c>
      <c r="R76" s="29">
        <v>1</v>
      </c>
      <c r="S76" s="17"/>
      <c r="T76" s="17"/>
      <c r="U76" s="17"/>
      <c r="V76" s="17"/>
      <c r="W76" s="17"/>
      <c r="X76" t="s" s="13">
        <v>1539</v>
      </c>
      <c r="Y76" s="17"/>
      <c r="Z76" s="29">
        <v>1</v>
      </c>
      <c r="AA76" s="29">
        <v>1</v>
      </c>
      <c r="AB76" s="17"/>
      <c r="AC76" s="29">
        <v>1</v>
      </c>
      <c r="AD76" s="17"/>
      <c r="AE76" s="17"/>
      <c r="AF76" s="8"/>
      <c r="AG76" s="17"/>
      <c r="AH76" s="17"/>
      <c r="AI76" s="17"/>
      <c r="AJ76" s="17"/>
      <c r="AK76" s="17"/>
      <c r="AL76" s="17"/>
      <c r="AM76" s="17"/>
      <c r="AN76" s="17"/>
      <c r="AO76" s="17"/>
      <c r="AP76" s="17"/>
      <c r="AQ76" s="17"/>
      <c r="AR76" s="17"/>
      <c r="AS76" s="17"/>
      <c r="AT76" s="17"/>
      <c r="AU76" s="17"/>
      <c r="AV76" s="17"/>
      <c r="AW76" s="17"/>
      <c r="AX76" s="17"/>
      <c r="AY76" s="17"/>
    </row>
    <row r="77" ht="17.45" customHeight="1">
      <c r="A77" t="s" s="13">
        <v>1537</v>
      </c>
      <c r="B77" s="17"/>
      <c r="C77" s="29">
        <v>29</v>
      </c>
      <c r="D77" t="s" s="13">
        <v>1394</v>
      </c>
      <c r="E77" t="s" s="13">
        <v>1538</v>
      </c>
      <c r="F77" t="s" s="13">
        <v>51</v>
      </c>
      <c r="G77" s="35">
        <v>1</v>
      </c>
      <c r="H77" s="17"/>
      <c r="I77" s="17"/>
      <c r="J77" s="17"/>
      <c r="K77" s="17"/>
      <c r="L77" s="29">
        <v>1</v>
      </c>
      <c r="M77" s="17"/>
      <c r="N77" s="17"/>
      <c r="O77" s="17"/>
      <c r="P77" s="17"/>
      <c r="Q77" s="29">
        <v>72</v>
      </c>
      <c r="R77" s="29">
        <v>1</v>
      </c>
      <c r="S77" s="17"/>
      <c r="T77" s="17"/>
      <c r="U77" s="29">
        <v>50</v>
      </c>
      <c r="V77" s="29">
        <v>3</v>
      </c>
      <c r="W77" s="29">
        <v>2</v>
      </c>
      <c r="X77" s="17"/>
      <c r="Y77" s="17"/>
      <c r="Z77" s="17"/>
      <c r="AA77" s="17"/>
      <c r="AB77" s="17"/>
      <c r="AC77" s="29">
        <v>1</v>
      </c>
      <c r="AD77" s="17"/>
      <c r="AE77" s="17"/>
      <c r="AF77" s="8"/>
      <c r="AG77" s="17"/>
      <c r="AH77" s="17"/>
      <c r="AI77" s="17"/>
      <c r="AJ77" s="17"/>
      <c r="AK77" s="17"/>
      <c r="AL77" s="17"/>
      <c r="AM77" s="17"/>
      <c r="AN77" s="17"/>
      <c r="AO77" s="17"/>
      <c r="AP77" s="17"/>
      <c r="AQ77" s="17"/>
      <c r="AR77" s="17"/>
      <c r="AS77" s="17"/>
      <c r="AT77" s="17"/>
      <c r="AU77" s="17"/>
      <c r="AV77" s="17"/>
      <c r="AW77" s="17"/>
      <c r="AX77" s="17"/>
      <c r="AY77" s="17"/>
    </row>
    <row r="78" ht="17.45" customHeight="1">
      <c r="A78" t="s" s="13">
        <v>1537</v>
      </c>
      <c r="B78" s="17"/>
      <c r="C78" s="29">
        <v>29</v>
      </c>
      <c r="D78" t="s" s="13">
        <v>1394</v>
      </c>
      <c r="E78" t="s" s="13">
        <v>1538</v>
      </c>
      <c r="F78" t="s" s="13">
        <v>1540</v>
      </c>
      <c r="G78" s="35">
        <v>1</v>
      </c>
      <c r="H78" s="17"/>
      <c r="I78" s="17"/>
      <c r="J78" s="17"/>
      <c r="K78" s="17"/>
      <c r="L78" s="17"/>
      <c r="M78" s="29">
        <v>1</v>
      </c>
      <c r="N78" s="17"/>
      <c r="O78" s="17"/>
      <c r="P78" s="17"/>
      <c r="Q78" s="29">
        <v>45</v>
      </c>
      <c r="R78" s="17"/>
      <c r="S78" s="29">
        <v>1</v>
      </c>
      <c r="T78" s="17"/>
      <c r="U78" s="17"/>
      <c r="V78" s="17"/>
      <c r="W78" s="17"/>
      <c r="X78" s="17"/>
      <c r="Y78" s="17"/>
      <c r="Z78" s="17"/>
      <c r="AA78" s="17"/>
      <c r="AB78" s="17"/>
      <c r="AC78" s="29">
        <v>1</v>
      </c>
      <c r="AD78" s="17"/>
      <c r="AE78" s="17"/>
      <c r="AF78" s="8"/>
      <c r="AG78" s="17"/>
      <c r="AH78" s="17"/>
      <c r="AI78" s="17"/>
      <c r="AJ78" s="17"/>
      <c r="AK78" s="17"/>
      <c r="AL78" s="17"/>
      <c r="AM78" s="17"/>
      <c r="AN78" s="17"/>
      <c r="AO78" s="17"/>
      <c r="AP78" s="17"/>
      <c r="AQ78" s="17"/>
      <c r="AR78" s="17"/>
      <c r="AS78" s="17"/>
      <c r="AT78" s="17"/>
      <c r="AU78" s="17"/>
      <c r="AV78" s="17"/>
      <c r="AW78" s="17"/>
      <c r="AX78" s="17"/>
      <c r="AY78" s="17"/>
    </row>
    <row r="79" ht="17.45" customHeight="1">
      <c r="A79" t="s" s="13">
        <v>1537</v>
      </c>
      <c r="B79" s="17"/>
      <c r="C79" s="29">
        <v>29</v>
      </c>
      <c r="D79" t="s" s="13">
        <v>1394</v>
      </c>
      <c r="E79" t="s" s="13">
        <v>1541</v>
      </c>
      <c r="F79" t="s" s="13">
        <v>1542</v>
      </c>
      <c r="G79" s="35">
        <v>1</v>
      </c>
      <c r="H79" s="17"/>
      <c r="I79" s="17"/>
      <c r="J79" s="17"/>
      <c r="K79" s="17"/>
      <c r="L79" s="17"/>
      <c r="M79" s="17"/>
      <c r="N79" s="17"/>
      <c r="O79" s="17"/>
      <c r="P79" s="29">
        <v>1</v>
      </c>
      <c r="Q79" s="29">
        <v>31</v>
      </c>
      <c r="R79" s="17"/>
      <c r="S79" s="29">
        <v>1</v>
      </c>
      <c r="T79" s="17"/>
      <c r="U79" s="17"/>
      <c r="V79" s="17"/>
      <c r="W79" s="17"/>
      <c r="X79" t="s" s="13">
        <v>162</v>
      </c>
      <c r="Y79" s="17"/>
      <c r="Z79" s="29">
        <v>1</v>
      </c>
      <c r="AA79" s="17"/>
      <c r="AB79" s="17"/>
      <c r="AC79" s="29">
        <v>1</v>
      </c>
      <c r="AD79" s="17"/>
      <c r="AE79" s="17"/>
      <c r="AF79" s="8"/>
      <c r="AG79" s="17"/>
      <c r="AH79" s="17"/>
      <c r="AI79" s="17"/>
      <c r="AJ79" s="17"/>
      <c r="AK79" s="17"/>
      <c r="AL79" s="17"/>
      <c r="AM79" s="17"/>
      <c r="AN79" s="17"/>
      <c r="AO79" s="17"/>
      <c r="AP79" s="17"/>
      <c r="AQ79" s="17"/>
      <c r="AR79" s="17"/>
      <c r="AS79" s="17"/>
      <c r="AT79" s="17"/>
      <c r="AU79" s="17"/>
      <c r="AV79" s="17"/>
      <c r="AW79" s="17"/>
      <c r="AX79" s="17"/>
      <c r="AY79" s="17"/>
    </row>
    <row r="80" ht="17.45" customHeight="1">
      <c r="A80" t="s" s="13">
        <v>1543</v>
      </c>
      <c r="B80" s="17"/>
      <c r="C80" s="29">
        <v>31</v>
      </c>
      <c r="D80" t="s" s="13">
        <v>1394</v>
      </c>
      <c r="E80" t="s" s="13">
        <v>1544</v>
      </c>
      <c r="F80" t="s" s="13">
        <v>1545</v>
      </c>
      <c r="G80" s="36"/>
      <c r="H80" s="78">
        <v>1</v>
      </c>
      <c r="I80" s="17"/>
      <c r="J80" s="17"/>
      <c r="K80" s="29">
        <v>1</v>
      </c>
      <c r="L80" s="17"/>
      <c r="M80" s="17"/>
      <c r="N80" s="17"/>
      <c r="O80" s="17"/>
      <c r="P80" s="17"/>
      <c r="Q80" s="29">
        <v>62</v>
      </c>
      <c r="R80" s="29">
        <v>1</v>
      </c>
      <c r="S80" s="17"/>
      <c r="T80" s="17"/>
      <c r="U80" s="17"/>
      <c r="V80" s="17"/>
      <c r="W80" s="17"/>
      <c r="X80" t="s" s="13">
        <v>1546</v>
      </c>
      <c r="Y80" s="17"/>
      <c r="Z80" s="29">
        <v>1</v>
      </c>
      <c r="AA80" s="29">
        <v>1</v>
      </c>
      <c r="AB80" s="17"/>
      <c r="AC80" s="17"/>
      <c r="AD80" t="s" s="13">
        <v>1547</v>
      </c>
      <c r="AE80" s="17"/>
      <c r="AF80" s="8"/>
      <c r="AG80" s="17"/>
      <c r="AH80" s="17"/>
      <c r="AI80" s="17"/>
      <c r="AJ80" s="17"/>
      <c r="AK80" s="17"/>
      <c r="AL80" s="17"/>
      <c r="AM80" s="17"/>
      <c r="AN80" s="17"/>
      <c r="AO80" s="17"/>
      <c r="AP80" s="17"/>
      <c r="AQ80" s="17"/>
      <c r="AR80" s="17"/>
      <c r="AS80" s="17"/>
      <c r="AT80" s="17"/>
      <c r="AU80" s="17"/>
      <c r="AV80" s="17"/>
      <c r="AW80" s="17"/>
      <c r="AX80" s="17"/>
      <c r="AY80" s="17"/>
    </row>
    <row r="81" ht="17.45" customHeight="1">
      <c r="A81" t="s" s="13">
        <v>1543</v>
      </c>
      <c r="B81" s="17"/>
      <c r="C81" s="29">
        <v>31</v>
      </c>
      <c r="D81" t="s" s="13">
        <v>1394</v>
      </c>
      <c r="E81" t="s" s="13">
        <v>1544</v>
      </c>
      <c r="F81" t="s" s="13">
        <v>1548</v>
      </c>
      <c r="G81" s="35">
        <v>1</v>
      </c>
      <c r="H81" s="17"/>
      <c r="I81" s="17"/>
      <c r="J81" s="17"/>
      <c r="K81" s="17"/>
      <c r="L81" s="29">
        <v>1</v>
      </c>
      <c r="M81" s="17"/>
      <c r="N81" s="17"/>
      <c r="O81" s="17"/>
      <c r="P81" s="17"/>
      <c r="Q81" s="29">
        <v>56</v>
      </c>
      <c r="R81" s="29">
        <v>1</v>
      </c>
      <c r="S81" s="17"/>
      <c r="T81" s="17"/>
      <c r="U81" s="29">
        <v>37</v>
      </c>
      <c r="V81" s="17"/>
      <c r="W81" s="17"/>
      <c r="X81" s="17"/>
      <c r="Y81" s="17"/>
      <c r="Z81" s="17"/>
      <c r="AA81" s="17"/>
      <c r="AB81" s="17"/>
      <c r="AC81" s="29">
        <v>1</v>
      </c>
      <c r="AD81" s="17"/>
      <c r="AE81" s="17"/>
      <c r="AF81" s="8"/>
      <c r="AG81" s="17"/>
      <c r="AH81" s="17"/>
      <c r="AI81" s="17"/>
      <c r="AJ81" s="17"/>
      <c r="AK81" s="17"/>
      <c r="AL81" s="17"/>
      <c r="AM81" s="17"/>
      <c r="AN81" s="17"/>
      <c r="AO81" s="17"/>
      <c r="AP81" s="17"/>
      <c r="AQ81" s="17"/>
      <c r="AR81" s="17"/>
      <c r="AS81" s="17"/>
      <c r="AT81" s="17"/>
      <c r="AU81" s="17"/>
      <c r="AV81" s="17"/>
      <c r="AW81" s="17"/>
      <c r="AX81" s="17"/>
      <c r="AY81" s="17"/>
    </row>
    <row r="82" ht="17.45" customHeight="1">
      <c r="A82" t="s" s="13">
        <v>1543</v>
      </c>
      <c r="B82" s="17"/>
      <c r="C82" s="29">
        <v>31</v>
      </c>
      <c r="D82" t="s" s="13">
        <v>1394</v>
      </c>
      <c r="E82" t="s" s="13">
        <v>1287</v>
      </c>
      <c r="F82" t="s" s="13">
        <v>881</v>
      </c>
      <c r="G82" s="35">
        <v>1</v>
      </c>
      <c r="H82" s="17"/>
      <c r="I82" s="17"/>
      <c r="J82" s="17"/>
      <c r="K82" s="17"/>
      <c r="L82" s="17"/>
      <c r="M82" s="17"/>
      <c r="N82" s="17"/>
      <c r="O82" s="17"/>
      <c r="P82" s="29">
        <v>1</v>
      </c>
      <c r="Q82" s="29">
        <v>25</v>
      </c>
      <c r="R82" s="17"/>
      <c r="S82" s="29">
        <v>1</v>
      </c>
      <c r="T82" s="17"/>
      <c r="U82" s="17"/>
      <c r="V82" s="17"/>
      <c r="W82" s="17"/>
      <c r="X82" t="s" s="13">
        <v>162</v>
      </c>
      <c r="Y82" s="17"/>
      <c r="Z82" s="29">
        <v>1</v>
      </c>
      <c r="AA82" s="17"/>
      <c r="AB82" s="17"/>
      <c r="AC82" s="29">
        <v>1</v>
      </c>
      <c r="AD82" s="17"/>
      <c r="AE82" s="17"/>
      <c r="AF82" s="8"/>
      <c r="AG82" s="17"/>
      <c r="AH82" s="17"/>
      <c r="AI82" s="17"/>
      <c r="AJ82" s="17"/>
      <c r="AK82" s="17"/>
      <c r="AL82" s="17"/>
      <c r="AM82" s="17"/>
      <c r="AN82" s="17"/>
      <c r="AO82" s="17"/>
      <c r="AP82" s="17"/>
      <c r="AQ82" s="17"/>
      <c r="AR82" s="17"/>
      <c r="AS82" s="17"/>
      <c r="AT82" s="17"/>
      <c r="AU82" s="17"/>
      <c r="AV82" s="17"/>
      <c r="AW82" s="17"/>
      <c r="AX82" s="17"/>
      <c r="AY82" s="17"/>
    </row>
    <row r="83" ht="17.45" customHeight="1">
      <c r="A83" t="s" s="13">
        <v>1543</v>
      </c>
      <c r="B83" s="17"/>
      <c r="C83" s="29">
        <v>31</v>
      </c>
      <c r="D83" t="s" s="13">
        <v>1394</v>
      </c>
      <c r="E83" t="s" s="13">
        <v>1549</v>
      </c>
      <c r="F83" t="s" s="13">
        <v>326</v>
      </c>
      <c r="G83" s="35">
        <v>1</v>
      </c>
      <c r="H83" s="17"/>
      <c r="I83" s="17"/>
      <c r="J83" s="17"/>
      <c r="K83" s="17"/>
      <c r="L83" s="17"/>
      <c r="M83" s="17"/>
      <c r="N83" s="17"/>
      <c r="O83" s="17"/>
      <c r="P83" s="29">
        <v>1</v>
      </c>
      <c r="Q83" s="29">
        <v>26</v>
      </c>
      <c r="R83" s="17"/>
      <c r="S83" s="29">
        <v>1</v>
      </c>
      <c r="T83" s="17"/>
      <c r="U83" s="17"/>
      <c r="V83" s="17"/>
      <c r="W83" s="17"/>
      <c r="X83" t="s" s="13">
        <v>159</v>
      </c>
      <c r="Y83" s="17"/>
      <c r="Z83" s="29">
        <v>1</v>
      </c>
      <c r="AA83" s="17"/>
      <c r="AB83" s="17"/>
      <c r="AC83" s="29">
        <v>1</v>
      </c>
      <c r="AD83" s="17"/>
      <c r="AE83" s="17"/>
      <c r="AF83" s="8"/>
      <c r="AG83" s="17"/>
      <c r="AH83" s="17"/>
      <c r="AI83" s="17"/>
      <c r="AJ83" s="17"/>
      <c r="AK83" s="17"/>
      <c r="AL83" s="17"/>
      <c r="AM83" s="17"/>
      <c r="AN83" s="17"/>
      <c r="AO83" s="17"/>
      <c r="AP83" s="17"/>
      <c r="AQ83" s="17"/>
      <c r="AR83" s="17"/>
      <c r="AS83" s="17"/>
      <c r="AT83" s="17"/>
      <c r="AU83" s="17"/>
      <c r="AV83" s="17"/>
      <c r="AW83" s="17"/>
      <c r="AX83" s="17"/>
      <c r="AY83" s="17"/>
    </row>
    <row r="84" ht="17.45" customHeight="1">
      <c r="A84" t="s" s="13">
        <v>1550</v>
      </c>
      <c r="B84" t="s" s="13">
        <v>1551</v>
      </c>
      <c r="C84" s="29">
        <v>33</v>
      </c>
      <c r="D84" t="s" s="13">
        <v>1394</v>
      </c>
      <c r="E84" t="s" s="13">
        <v>1552</v>
      </c>
      <c r="F84" t="s" s="13">
        <v>41</v>
      </c>
      <c r="G84" s="36"/>
      <c r="H84" s="78">
        <v>1</v>
      </c>
      <c r="I84" s="17"/>
      <c r="J84" s="17"/>
      <c r="K84" s="29">
        <v>1</v>
      </c>
      <c r="L84" s="17"/>
      <c r="M84" s="17"/>
      <c r="N84" s="17"/>
      <c r="O84" s="17"/>
      <c r="P84" s="17"/>
      <c r="Q84" s="29">
        <v>65</v>
      </c>
      <c r="R84" s="29">
        <v>1</v>
      </c>
      <c r="S84" s="17"/>
      <c r="T84" s="17"/>
      <c r="U84" s="17"/>
      <c r="V84" s="17"/>
      <c r="W84" s="17"/>
      <c r="X84" t="s" s="13">
        <v>337</v>
      </c>
      <c r="Y84" s="17"/>
      <c r="Z84" s="29">
        <v>1</v>
      </c>
      <c r="AA84" s="29">
        <v>1</v>
      </c>
      <c r="AB84" s="17"/>
      <c r="AC84" s="29">
        <v>1</v>
      </c>
      <c r="AD84" s="17"/>
      <c r="AE84" s="17"/>
      <c r="AF84" s="8"/>
      <c r="AG84" s="17"/>
      <c r="AH84" s="17"/>
      <c r="AI84" s="17"/>
      <c r="AJ84" s="17"/>
      <c r="AK84" s="17"/>
      <c r="AL84" s="17"/>
      <c r="AM84" s="17"/>
      <c r="AN84" s="17"/>
      <c r="AO84" s="17"/>
      <c r="AP84" s="17"/>
      <c r="AQ84" s="17"/>
      <c r="AR84" s="17"/>
      <c r="AS84" s="17"/>
      <c r="AT84" s="17"/>
      <c r="AU84" s="17"/>
      <c r="AV84" s="17"/>
      <c r="AW84" s="17"/>
      <c r="AX84" s="17"/>
      <c r="AY84" s="17"/>
    </row>
    <row r="85" ht="17.45" customHeight="1">
      <c r="A85" t="s" s="13">
        <v>1550</v>
      </c>
      <c r="B85" t="s" s="13">
        <v>1551</v>
      </c>
      <c r="C85" s="29">
        <v>33</v>
      </c>
      <c r="D85" t="s" s="13">
        <v>1394</v>
      </c>
      <c r="E85" t="s" s="13">
        <v>1552</v>
      </c>
      <c r="F85" t="s" s="13">
        <v>1553</v>
      </c>
      <c r="G85" s="36"/>
      <c r="H85" s="78">
        <v>1</v>
      </c>
      <c r="I85" s="17"/>
      <c r="J85" s="17"/>
      <c r="K85" s="17"/>
      <c r="L85" s="29">
        <v>1</v>
      </c>
      <c r="M85" s="17"/>
      <c r="N85" s="17"/>
      <c r="O85" s="17"/>
      <c r="P85" s="17"/>
      <c r="Q85" s="29">
        <v>57</v>
      </c>
      <c r="R85" s="29">
        <v>1</v>
      </c>
      <c r="S85" s="17"/>
      <c r="T85" s="17"/>
      <c r="U85" s="29">
        <v>33</v>
      </c>
      <c r="V85" s="29">
        <v>12</v>
      </c>
      <c r="W85" s="29">
        <v>11</v>
      </c>
      <c r="X85" s="17"/>
      <c r="Y85" s="17"/>
      <c r="Z85" s="17"/>
      <c r="AA85" s="17"/>
      <c r="AB85" s="17"/>
      <c r="AC85" s="17"/>
      <c r="AD85" t="s" s="13">
        <v>400</v>
      </c>
      <c r="AE85" s="17"/>
      <c r="AF85" s="8"/>
      <c r="AG85" s="17"/>
      <c r="AH85" s="17"/>
      <c r="AI85" s="17"/>
      <c r="AJ85" s="17"/>
      <c r="AK85" s="17"/>
      <c r="AL85" s="17"/>
      <c r="AM85" s="17"/>
      <c r="AN85" s="17"/>
      <c r="AO85" s="17"/>
      <c r="AP85" s="17"/>
      <c r="AQ85" s="17"/>
      <c r="AR85" s="17"/>
      <c r="AS85" s="17"/>
      <c r="AT85" s="17"/>
      <c r="AU85" s="17"/>
      <c r="AV85" s="17"/>
      <c r="AW85" s="17"/>
      <c r="AX85" s="17"/>
      <c r="AY85" s="17"/>
    </row>
    <row r="86" ht="17.45" customHeight="1">
      <c r="A86" t="s" s="13">
        <v>1550</v>
      </c>
      <c r="B86" t="s" s="13">
        <v>1551</v>
      </c>
      <c r="C86" s="29">
        <v>33</v>
      </c>
      <c r="D86" t="s" s="13">
        <v>1394</v>
      </c>
      <c r="E86" t="s" s="13">
        <v>1552</v>
      </c>
      <c r="F86" t="s" s="13">
        <v>1246</v>
      </c>
      <c r="G86" s="36"/>
      <c r="H86" s="78">
        <v>1</v>
      </c>
      <c r="I86" s="17"/>
      <c r="J86" s="17"/>
      <c r="K86" s="17"/>
      <c r="L86" s="17"/>
      <c r="M86" s="17"/>
      <c r="N86" s="29">
        <v>1</v>
      </c>
      <c r="O86" s="17"/>
      <c r="P86" s="17"/>
      <c r="Q86" s="29">
        <v>32</v>
      </c>
      <c r="R86" s="17"/>
      <c r="S86" s="29">
        <v>1</v>
      </c>
      <c r="T86" s="17"/>
      <c r="U86" s="17"/>
      <c r="V86" s="17"/>
      <c r="W86" s="17"/>
      <c r="X86" t="s" s="13">
        <v>1554</v>
      </c>
      <c r="Y86" s="17"/>
      <c r="Z86" s="29">
        <v>1</v>
      </c>
      <c r="AA86" s="29">
        <v>1</v>
      </c>
      <c r="AB86" s="17"/>
      <c r="AC86" s="29">
        <v>1</v>
      </c>
      <c r="AD86" s="17"/>
      <c r="AE86" s="17"/>
      <c r="AF86" s="8"/>
      <c r="AG86" s="17"/>
      <c r="AH86" s="17"/>
      <c r="AI86" s="17"/>
      <c r="AJ86" s="17"/>
      <c r="AK86" s="17"/>
      <c r="AL86" s="17"/>
      <c r="AM86" s="17"/>
      <c r="AN86" s="17"/>
      <c r="AO86" s="17"/>
      <c r="AP86" s="17"/>
      <c r="AQ86" s="17"/>
      <c r="AR86" s="17"/>
      <c r="AS86" s="17"/>
      <c r="AT86" s="17"/>
      <c r="AU86" s="17"/>
      <c r="AV86" s="17"/>
      <c r="AW86" s="17"/>
      <c r="AX86" s="17"/>
      <c r="AY86" s="17"/>
    </row>
    <row r="87" ht="17.45" customHeight="1">
      <c r="A87" t="s" s="13">
        <v>1550</v>
      </c>
      <c r="B87" t="s" s="13">
        <v>1551</v>
      </c>
      <c r="C87" s="29">
        <v>33</v>
      </c>
      <c r="D87" t="s" s="13">
        <v>1394</v>
      </c>
      <c r="E87" t="s" s="13">
        <v>1552</v>
      </c>
      <c r="F87" t="s" s="13">
        <v>1555</v>
      </c>
      <c r="G87" s="36"/>
      <c r="H87" s="78">
        <v>1</v>
      </c>
      <c r="I87" s="17"/>
      <c r="J87" s="17"/>
      <c r="K87" s="17"/>
      <c r="L87" s="17"/>
      <c r="M87" s="17"/>
      <c r="N87" s="29">
        <v>1</v>
      </c>
      <c r="O87" s="17"/>
      <c r="P87" s="17"/>
      <c r="Q87" s="29">
        <v>30</v>
      </c>
      <c r="R87" s="17"/>
      <c r="S87" s="29">
        <v>1</v>
      </c>
      <c r="T87" s="17"/>
      <c r="U87" s="17"/>
      <c r="V87" s="17"/>
      <c r="W87" s="17"/>
      <c r="X87" t="s" s="13">
        <v>337</v>
      </c>
      <c r="Y87" s="17"/>
      <c r="Z87" s="29">
        <v>1</v>
      </c>
      <c r="AA87" s="29">
        <v>1</v>
      </c>
      <c r="AB87" s="17"/>
      <c r="AC87" s="29">
        <v>1</v>
      </c>
      <c r="AD87" s="17"/>
      <c r="AE87" s="17"/>
      <c r="AF87" s="8"/>
      <c r="AG87" s="17"/>
      <c r="AH87" s="17"/>
      <c r="AI87" s="17"/>
      <c r="AJ87" s="17"/>
      <c r="AK87" s="17"/>
      <c r="AL87" s="17"/>
      <c r="AM87" s="17"/>
      <c r="AN87" s="17"/>
      <c r="AO87" s="17"/>
      <c r="AP87" s="17"/>
      <c r="AQ87" s="17"/>
      <c r="AR87" s="17"/>
      <c r="AS87" s="17"/>
      <c r="AT87" s="17"/>
      <c r="AU87" s="17"/>
      <c r="AV87" s="17"/>
      <c r="AW87" s="17"/>
      <c r="AX87" s="17"/>
      <c r="AY87" s="17"/>
    </row>
    <row r="88" ht="17.45" customHeight="1">
      <c r="A88" t="s" s="13">
        <v>1550</v>
      </c>
      <c r="B88" t="s" s="13">
        <v>1551</v>
      </c>
      <c r="C88" s="29">
        <v>33</v>
      </c>
      <c r="D88" t="s" s="13">
        <v>1394</v>
      </c>
      <c r="E88" t="s" s="13">
        <v>1552</v>
      </c>
      <c r="F88" t="s" s="13">
        <v>1556</v>
      </c>
      <c r="G88" s="35">
        <v>1</v>
      </c>
      <c r="H88" s="17"/>
      <c r="I88" s="17"/>
      <c r="J88" s="17"/>
      <c r="K88" s="17"/>
      <c r="L88" s="17"/>
      <c r="M88" s="29">
        <v>1</v>
      </c>
      <c r="N88" s="17"/>
      <c r="O88" s="17"/>
      <c r="P88" s="17"/>
      <c r="Q88" s="29">
        <v>23</v>
      </c>
      <c r="R88" s="17"/>
      <c r="S88" s="29">
        <v>1</v>
      </c>
      <c r="T88" s="17"/>
      <c r="U88" s="17"/>
      <c r="V88" s="17"/>
      <c r="W88" s="17"/>
      <c r="X88" t="s" s="13">
        <v>1557</v>
      </c>
      <c r="Y88" t="s" s="13">
        <v>1558</v>
      </c>
      <c r="Z88" s="29">
        <v>1</v>
      </c>
      <c r="AA88" s="17"/>
      <c r="AB88" s="29">
        <v>1</v>
      </c>
      <c r="AC88" s="29">
        <v>1</v>
      </c>
      <c r="AD88" s="17"/>
      <c r="AE88" s="17"/>
      <c r="AF88" s="8"/>
      <c r="AG88" s="17"/>
      <c r="AH88" s="17"/>
      <c r="AI88" s="17"/>
      <c r="AJ88" s="17"/>
      <c r="AK88" s="17"/>
      <c r="AL88" s="17"/>
      <c r="AM88" s="17"/>
      <c r="AN88" s="17"/>
      <c r="AO88" s="17"/>
      <c r="AP88" s="17"/>
      <c r="AQ88" s="17"/>
      <c r="AR88" s="17"/>
      <c r="AS88" s="17"/>
      <c r="AT88" s="17"/>
      <c r="AU88" s="17"/>
      <c r="AV88" s="17"/>
      <c r="AW88" s="17"/>
      <c r="AX88" s="17"/>
      <c r="AY88" s="17"/>
    </row>
    <row r="89" ht="17.45" customHeight="1">
      <c r="A89" t="s" s="13">
        <v>1550</v>
      </c>
      <c r="B89" t="s" s="13">
        <v>1551</v>
      </c>
      <c r="C89" s="29">
        <v>33</v>
      </c>
      <c r="D89" t="s" s="13">
        <v>1394</v>
      </c>
      <c r="E89" t="s" s="13">
        <v>1552</v>
      </c>
      <c r="F89" t="s" s="13">
        <v>1559</v>
      </c>
      <c r="G89" s="35">
        <v>1</v>
      </c>
      <c r="H89" s="17"/>
      <c r="I89" s="17"/>
      <c r="J89" s="17"/>
      <c r="K89" s="17"/>
      <c r="L89" s="17"/>
      <c r="M89" s="29">
        <v>1</v>
      </c>
      <c r="N89" s="17"/>
      <c r="O89" s="17"/>
      <c r="P89" s="17"/>
      <c r="Q89" s="29">
        <v>20</v>
      </c>
      <c r="R89" s="17"/>
      <c r="S89" s="29">
        <v>1</v>
      </c>
      <c r="T89" s="17"/>
      <c r="U89" s="17"/>
      <c r="V89" s="17"/>
      <c r="W89" s="17"/>
      <c r="X89" t="s" s="13">
        <v>1450</v>
      </c>
      <c r="Y89" s="17"/>
      <c r="Z89" s="17"/>
      <c r="AA89" s="17"/>
      <c r="AB89" s="17"/>
      <c r="AC89" s="29">
        <v>1</v>
      </c>
      <c r="AD89" s="17"/>
      <c r="AE89" s="17"/>
      <c r="AF89" s="8"/>
      <c r="AG89" s="17"/>
      <c r="AH89" s="17"/>
      <c r="AI89" s="17"/>
      <c r="AJ89" s="17"/>
      <c r="AK89" s="17"/>
      <c r="AL89" s="17"/>
      <c r="AM89" s="17"/>
      <c r="AN89" s="17"/>
      <c r="AO89" s="17"/>
      <c r="AP89" s="17"/>
      <c r="AQ89" s="17"/>
      <c r="AR89" s="17"/>
      <c r="AS89" s="17"/>
      <c r="AT89" s="17"/>
      <c r="AU89" s="17"/>
      <c r="AV89" s="17"/>
      <c r="AW89" s="17"/>
      <c r="AX89" s="17"/>
      <c r="AY89" s="17"/>
    </row>
    <row r="90" ht="17.45" customHeight="1">
      <c r="A90" t="s" s="13">
        <v>1550</v>
      </c>
      <c r="B90" t="s" s="13">
        <v>1551</v>
      </c>
      <c r="C90" s="29">
        <v>33</v>
      </c>
      <c r="D90" t="s" s="13">
        <v>1394</v>
      </c>
      <c r="E90" t="s" s="13">
        <v>1552</v>
      </c>
      <c r="F90" t="s" s="13">
        <v>1560</v>
      </c>
      <c r="G90" s="36"/>
      <c r="H90" s="78">
        <v>1</v>
      </c>
      <c r="I90" s="17"/>
      <c r="J90" s="17"/>
      <c r="K90" s="17"/>
      <c r="L90" s="17"/>
      <c r="M90" s="17"/>
      <c r="N90" s="29">
        <v>1</v>
      </c>
      <c r="O90" s="17"/>
      <c r="P90" s="17"/>
      <c r="Q90" s="29">
        <v>18</v>
      </c>
      <c r="R90" s="17"/>
      <c r="S90" s="29">
        <v>1</v>
      </c>
      <c r="T90" s="17"/>
      <c r="U90" s="17"/>
      <c r="V90" s="17"/>
      <c r="W90" s="17"/>
      <c r="X90" t="s" s="13">
        <v>1561</v>
      </c>
      <c r="Y90" t="s" s="13">
        <v>1562</v>
      </c>
      <c r="Z90" s="17"/>
      <c r="AA90" s="17"/>
      <c r="AB90" s="17"/>
      <c r="AC90" s="17"/>
      <c r="AD90" t="s" s="13">
        <v>240</v>
      </c>
      <c r="AE90" s="17"/>
      <c r="AF90" s="8"/>
      <c r="AG90" s="17"/>
      <c r="AH90" s="17"/>
      <c r="AI90" s="17"/>
      <c r="AJ90" s="17"/>
      <c r="AK90" s="17"/>
      <c r="AL90" s="17"/>
      <c r="AM90" s="17"/>
      <c r="AN90" s="17"/>
      <c r="AO90" s="17"/>
      <c r="AP90" s="17"/>
      <c r="AQ90" s="17"/>
      <c r="AR90" s="17"/>
      <c r="AS90" s="17"/>
      <c r="AT90" s="17"/>
      <c r="AU90" s="17"/>
      <c r="AV90" s="17"/>
      <c r="AW90" s="17"/>
      <c r="AX90" s="17"/>
      <c r="AY90" s="17"/>
    </row>
    <row r="91" ht="17.45" customHeight="1">
      <c r="A91" t="s" s="13">
        <v>1550</v>
      </c>
      <c r="B91" t="s" s="13">
        <v>1551</v>
      </c>
      <c r="C91" s="29">
        <v>33</v>
      </c>
      <c r="D91" t="s" s="13">
        <v>1394</v>
      </c>
      <c r="E91" t="s" s="13">
        <v>1563</v>
      </c>
      <c r="F91" t="s" s="13">
        <v>1564</v>
      </c>
      <c r="G91" s="35">
        <v>1</v>
      </c>
      <c r="H91" s="17"/>
      <c r="I91" s="17"/>
      <c r="J91" s="17"/>
      <c r="K91" s="17"/>
      <c r="L91" s="17"/>
      <c r="M91" s="17"/>
      <c r="N91" s="17"/>
      <c r="O91" s="17"/>
      <c r="P91" s="29">
        <v>1</v>
      </c>
      <c r="Q91" s="29">
        <v>24</v>
      </c>
      <c r="R91" s="17"/>
      <c r="S91" s="29">
        <v>1</v>
      </c>
      <c r="T91" s="17"/>
      <c r="U91" s="17"/>
      <c r="V91" s="17"/>
      <c r="W91" s="17"/>
      <c r="X91" t="s" s="13">
        <v>159</v>
      </c>
      <c r="Y91" s="17"/>
      <c r="Z91" s="29">
        <v>1</v>
      </c>
      <c r="AA91" s="17"/>
      <c r="AB91" s="29">
        <v>1</v>
      </c>
      <c r="AC91" s="17"/>
      <c r="AD91" t="s" s="13">
        <v>240</v>
      </c>
      <c r="AE91" s="17"/>
      <c r="AF91" s="8"/>
      <c r="AG91" s="17"/>
      <c r="AH91" s="17"/>
      <c r="AI91" s="17"/>
      <c r="AJ91" s="17"/>
      <c r="AK91" s="17"/>
      <c r="AL91" s="17"/>
      <c r="AM91" s="17"/>
      <c r="AN91" s="17"/>
      <c r="AO91" s="17"/>
      <c r="AP91" s="17"/>
      <c r="AQ91" s="17"/>
      <c r="AR91" s="17"/>
      <c r="AS91" s="17"/>
      <c r="AT91" s="17"/>
      <c r="AU91" s="17"/>
      <c r="AV91" s="17"/>
      <c r="AW91" s="17"/>
      <c r="AX91" s="17"/>
      <c r="AY91" s="17"/>
    </row>
    <row r="92" ht="17.45" customHeight="1">
      <c r="A92" t="s" s="13">
        <v>1550</v>
      </c>
      <c r="B92" t="s" s="13">
        <v>1551</v>
      </c>
      <c r="C92" s="29">
        <v>33</v>
      </c>
      <c r="D92" t="s" s="13">
        <v>1394</v>
      </c>
      <c r="E92" t="s" s="13">
        <v>1563</v>
      </c>
      <c r="F92" t="s" s="13">
        <v>1565</v>
      </c>
      <c r="G92" s="35">
        <v>1</v>
      </c>
      <c r="H92" s="17"/>
      <c r="I92" s="17"/>
      <c r="J92" s="17"/>
      <c r="K92" s="17"/>
      <c r="L92" s="17"/>
      <c r="M92" s="17"/>
      <c r="N92" s="17"/>
      <c r="O92" s="17"/>
      <c r="P92" s="29">
        <v>1</v>
      </c>
      <c r="Q92" s="29">
        <v>18</v>
      </c>
      <c r="R92" s="17"/>
      <c r="S92" s="29">
        <v>1</v>
      </c>
      <c r="T92" s="17"/>
      <c r="U92" s="17"/>
      <c r="V92" s="17"/>
      <c r="W92" s="17"/>
      <c r="X92" t="s" s="13">
        <v>162</v>
      </c>
      <c r="Y92" s="17"/>
      <c r="Z92" s="29">
        <v>1</v>
      </c>
      <c r="AA92" s="17"/>
      <c r="AB92" s="29">
        <v>1</v>
      </c>
      <c r="AC92" s="17"/>
      <c r="AD92" t="s" s="13">
        <v>1462</v>
      </c>
      <c r="AE92" s="17"/>
      <c r="AF92" s="8"/>
      <c r="AG92" s="17"/>
      <c r="AH92" s="17"/>
      <c r="AI92" s="17"/>
      <c r="AJ92" s="17"/>
      <c r="AK92" s="17"/>
      <c r="AL92" s="17"/>
      <c r="AM92" s="17"/>
      <c r="AN92" s="17"/>
      <c r="AO92" s="17"/>
      <c r="AP92" s="17"/>
      <c r="AQ92" s="17"/>
      <c r="AR92" s="17"/>
      <c r="AS92" s="17"/>
      <c r="AT92" s="17"/>
      <c r="AU92" s="17"/>
      <c r="AV92" s="17"/>
      <c r="AW92" s="17"/>
      <c r="AX92" s="17"/>
      <c r="AY92" s="17"/>
    </row>
    <row r="93" ht="17.45" customHeight="1">
      <c r="A93" t="s" s="13">
        <v>1550</v>
      </c>
      <c r="B93" t="s" s="13">
        <v>1551</v>
      </c>
      <c r="C93" s="29">
        <v>33</v>
      </c>
      <c r="D93" t="s" s="13">
        <v>1394</v>
      </c>
      <c r="E93" t="s" s="13">
        <v>1566</v>
      </c>
      <c r="F93" t="s" s="13">
        <v>1567</v>
      </c>
      <c r="G93" s="35">
        <v>1</v>
      </c>
      <c r="H93" s="17"/>
      <c r="I93" s="17"/>
      <c r="J93" s="17"/>
      <c r="K93" s="17"/>
      <c r="L93" s="17"/>
      <c r="M93" s="17"/>
      <c r="N93" s="17"/>
      <c r="O93" s="17"/>
      <c r="P93" s="29">
        <v>1</v>
      </c>
      <c r="Q93" s="29">
        <v>25</v>
      </c>
      <c r="R93" s="17"/>
      <c r="S93" s="29">
        <v>1</v>
      </c>
      <c r="T93" s="17"/>
      <c r="U93" s="17"/>
      <c r="V93" s="17"/>
      <c r="W93" s="17"/>
      <c r="X93" t="s" s="13">
        <v>165</v>
      </c>
      <c r="Y93" s="17"/>
      <c r="Z93" s="29">
        <v>1</v>
      </c>
      <c r="AA93" s="17"/>
      <c r="AB93" s="29">
        <v>1</v>
      </c>
      <c r="AC93" s="17"/>
      <c r="AD93" t="s" s="13">
        <v>1429</v>
      </c>
      <c r="AE93" s="17"/>
      <c r="AF93" s="8"/>
      <c r="AG93" s="17"/>
      <c r="AH93" s="17"/>
      <c r="AI93" s="17"/>
      <c r="AJ93" s="17"/>
      <c r="AK93" s="17"/>
      <c r="AL93" s="17"/>
      <c r="AM93" s="17"/>
      <c r="AN93" s="17"/>
      <c r="AO93" s="17"/>
      <c r="AP93" s="17"/>
      <c r="AQ93" s="17"/>
      <c r="AR93" s="17"/>
      <c r="AS93" s="17"/>
      <c r="AT93" s="17"/>
      <c r="AU93" s="17"/>
      <c r="AV93" s="17"/>
      <c r="AW93" s="17"/>
      <c r="AX93" s="17"/>
      <c r="AY93" s="17"/>
    </row>
    <row r="94" ht="17.45" customHeight="1">
      <c r="A94" t="s" s="13">
        <v>1550</v>
      </c>
      <c r="B94" t="s" s="13">
        <v>1551</v>
      </c>
      <c r="C94" s="29">
        <v>33</v>
      </c>
      <c r="D94" t="s" s="13">
        <v>1394</v>
      </c>
      <c r="E94" t="s" s="13">
        <v>1568</v>
      </c>
      <c r="F94" t="s" s="13">
        <v>1569</v>
      </c>
      <c r="G94" s="35">
        <v>1</v>
      </c>
      <c r="H94" s="17"/>
      <c r="I94" s="17"/>
      <c r="J94" s="17"/>
      <c r="K94" s="17"/>
      <c r="L94" s="17"/>
      <c r="M94" s="17"/>
      <c r="N94" s="17"/>
      <c r="O94" s="17"/>
      <c r="P94" s="29">
        <v>1</v>
      </c>
      <c r="Q94" s="29">
        <v>16</v>
      </c>
      <c r="R94" s="17"/>
      <c r="S94" s="29">
        <v>1</v>
      </c>
      <c r="T94" s="17"/>
      <c r="U94" s="17"/>
      <c r="V94" s="17"/>
      <c r="W94" s="17"/>
      <c r="X94" t="s" s="13">
        <v>497</v>
      </c>
      <c r="Y94" s="17"/>
      <c r="Z94" s="29">
        <v>1</v>
      </c>
      <c r="AA94" s="17"/>
      <c r="AB94" s="17"/>
      <c r="AC94" s="29">
        <v>1</v>
      </c>
      <c r="AD94" s="17"/>
      <c r="AE94" s="17"/>
      <c r="AF94" s="8"/>
      <c r="AG94" s="17"/>
      <c r="AH94" s="17"/>
      <c r="AI94" s="17"/>
      <c r="AJ94" s="17"/>
      <c r="AK94" s="17"/>
      <c r="AL94" s="17"/>
      <c r="AM94" s="17"/>
      <c r="AN94" s="17"/>
      <c r="AO94" s="17"/>
      <c r="AP94" s="17"/>
      <c r="AQ94" s="17"/>
      <c r="AR94" s="17"/>
      <c r="AS94" s="17"/>
      <c r="AT94" s="17"/>
      <c r="AU94" s="17"/>
      <c r="AV94" s="17"/>
      <c r="AW94" s="17"/>
      <c r="AX94" s="17"/>
      <c r="AY94" s="17"/>
    </row>
    <row r="95" ht="17.45" customHeight="1">
      <c r="A95" t="s" s="13">
        <v>1570</v>
      </c>
      <c r="B95" t="s" s="13">
        <v>1571</v>
      </c>
      <c r="C95" s="29">
        <v>33</v>
      </c>
      <c r="D95" t="s" s="13">
        <v>1394</v>
      </c>
      <c r="E95" t="s" s="13">
        <v>828</v>
      </c>
      <c r="F95" t="s" s="13">
        <v>1572</v>
      </c>
      <c r="G95" s="36"/>
      <c r="H95" s="78">
        <v>1</v>
      </c>
      <c r="I95" s="17"/>
      <c r="J95" s="17"/>
      <c r="K95" s="17"/>
      <c r="L95" s="17"/>
      <c r="M95" s="17"/>
      <c r="N95" s="17"/>
      <c r="O95" s="17"/>
      <c r="P95" s="29">
        <v>1</v>
      </c>
      <c r="Q95" s="29">
        <v>25</v>
      </c>
      <c r="R95" s="17"/>
      <c r="S95" s="29">
        <v>1</v>
      </c>
      <c r="T95" s="17"/>
      <c r="U95" s="17"/>
      <c r="V95" s="17"/>
      <c r="W95" s="17"/>
      <c r="X95" t="s" s="13">
        <v>365</v>
      </c>
      <c r="Y95" s="17"/>
      <c r="Z95" s="29">
        <v>1</v>
      </c>
      <c r="AA95" s="17"/>
      <c r="AB95" s="17"/>
      <c r="AC95" s="29">
        <v>1</v>
      </c>
      <c r="AD95" s="17"/>
      <c r="AE95" s="17"/>
      <c r="AF95" s="8"/>
      <c r="AG95" s="17"/>
      <c r="AH95" s="17"/>
      <c r="AI95" s="17"/>
      <c r="AJ95" s="17"/>
      <c r="AK95" s="17"/>
      <c r="AL95" s="17"/>
      <c r="AM95" s="17"/>
      <c r="AN95" s="17"/>
      <c r="AO95" s="17"/>
      <c r="AP95" s="17"/>
      <c r="AQ95" s="17"/>
      <c r="AR95" s="17"/>
      <c r="AS95" s="17"/>
      <c r="AT95" s="17"/>
      <c r="AU95" s="17"/>
      <c r="AV95" s="17"/>
      <c r="AW95" s="17"/>
      <c r="AX95" s="17"/>
      <c r="AY95" s="17"/>
    </row>
    <row r="96" ht="17.45" customHeight="1">
      <c r="A96" t="s" s="13">
        <v>1573</v>
      </c>
      <c r="B96" t="s" s="13">
        <v>1574</v>
      </c>
      <c r="C96" s="29">
        <v>37</v>
      </c>
      <c r="D96" t="s" s="13">
        <v>1394</v>
      </c>
      <c r="E96" t="s" s="13">
        <v>1575</v>
      </c>
      <c r="F96" t="s" s="13">
        <v>1576</v>
      </c>
      <c r="G96" s="36"/>
      <c r="H96" s="78">
        <v>1</v>
      </c>
      <c r="I96" s="17"/>
      <c r="J96" s="17"/>
      <c r="K96" s="29">
        <v>1</v>
      </c>
      <c r="L96" s="17"/>
      <c r="M96" s="17"/>
      <c r="N96" s="17"/>
      <c r="O96" s="17"/>
      <c r="P96" s="17"/>
      <c r="Q96" s="29">
        <v>57</v>
      </c>
      <c r="R96" s="29">
        <v>1</v>
      </c>
      <c r="S96" s="17"/>
      <c r="T96" s="17"/>
      <c r="U96" s="17"/>
      <c r="V96" s="17"/>
      <c r="W96" s="17"/>
      <c r="X96" t="s" s="13">
        <v>1577</v>
      </c>
      <c r="Y96" t="s" s="13">
        <v>1578</v>
      </c>
      <c r="Z96" s="29">
        <v>1</v>
      </c>
      <c r="AA96" s="29">
        <v>1</v>
      </c>
      <c r="AB96" s="17"/>
      <c r="AC96" s="17"/>
      <c r="AD96" t="s" s="13">
        <v>400</v>
      </c>
      <c r="AE96" s="17"/>
      <c r="AF96" s="8"/>
      <c r="AG96" s="17"/>
      <c r="AH96" s="17"/>
      <c r="AI96" s="17"/>
      <c r="AJ96" s="17"/>
      <c r="AK96" s="17"/>
      <c r="AL96" s="17"/>
      <c r="AM96" s="17"/>
      <c r="AN96" s="17"/>
      <c r="AO96" s="17"/>
      <c r="AP96" s="17"/>
      <c r="AQ96" s="17"/>
      <c r="AR96" s="17"/>
      <c r="AS96" s="17"/>
      <c r="AT96" s="17"/>
      <c r="AU96" s="17"/>
      <c r="AV96" s="17"/>
      <c r="AW96" s="17"/>
      <c r="AX96" s="17"/>
      <c r="AY96" s="17"/>
    </row>
    <row r="97" ht="17.45" customHeight="1">
      <c r="A97" t="s" s="13">
        <v>1573</v>
      </c>
      <c r="B97" t="s" s="13">
        <v>1574</v>
      </c>
      <c r="C97" s="29">
        <v>37</v>
      </c>
      <c r="D97" t="s" s="13">
        <v>1394</v>
      </c>
      <c r="E97" t="s" s="13">
        <v>1575</v>
      </c>
      <c r="F97" t="s" s="13">
        <v>1111</v>
      </c>
      <c r="G97" s="35">
        <v>1</v>
      </c>
      <c r="H97" s="17"/>
      <c r="I97" s="17"/>
      <c r="J97" s="17"/>
      <c r="K97" s="17"/>
      <c r="L97" s="29">
        <v>1</v>
      </c>
      <c r="M97" s="17"/>
      <c r="N97" s="17"/>
      <c r="O97" s="17"/>
      <c r="P97" s="17"/>
      <c r="Q97" s="29">
        <v>47</v>
      </c>
      <c r="R97" s="29">
        <v>1</v>
      </c>
      <c r="S97" s="17"/>
      <c r="T97" s="17"/>
      <c r="U97" s="29">
        <v>24</v>
      </c>
      <c r="V97" s="29">
        <v>4</v>
      </c>
      <c r="W97" s="29">
        <v>3</v>
      </c>
      <c r="X97" s="17"/>
      <c r="Y97" s="17"/>
      <c r="Z97" s="17"/>
      <c r="AA97" s="17"/>
      <c r="AB97" s="17"/>
      <c r="AC97" s="17"/>
      <c r="AD97" t="s" s="13">
        <v>400</v>
      </c>
      <c r="AE97" s="17"/>
      <c r="AF97" s="8"/>
      <c r="AG97" s="17"/>
      <c r="AH97" s="17"/>
      <c r="AI97" s="17"/>
      <c r="AJ97" s="17"/>
      <c r="AK97" s="17"/>
      <c r="AL97" s="17"/>
      <c r="AM97" s="17"/>
      <c r="AN97" s="17"/>
      <c r="AO97" s="17"/>
      <c r="AP97" s="17"/>
      <c r="AQ97" s="17"/>
      <c r="AR97" s="17"/>
      <c r="AS97" s="17"/>
      <c r="AT97" s="17"/>
      <c r="AU97" s="17"/>
      <c r="AV97" s="17"/>
      <c r="AW97" s="17"/>
      <c r="AX97" s="17"/>
      <c r="AY97" s="17"/>
    </row>
    <row r="98" ht="17.45" customHeight="1">
      <c r="A98" t="s" s="13">
        <v>1573</v>
      </c>
      <c r="B98" t="s" s="13">
        <v>1574</v>
      </c>
      <c r="C98" s="29">
        <v>37</v>
      </c>
      <c r="D98" t="s" s="13">
        <v>1394</v>
      </c>
      <c r="E98" t="s" s="13">
        <v>1579</v>
      </c>
      <c r="F98" t="s" s="13">
        <v>193</v>
      </c>
      <c r="G98" s="35">
        <v>1</v>
      </c>
      <c r="H98" s="17"/>
      <c r="I98" s="17"/>
      <c r="J98" s="17"/>
      <c r="K98" s="17"/>
      <c r="L98" s="17"/>
      <c r="M98" s="17"/>
      <c r="N98" s="17"/>
      <c r="O98" s="17"/>
      <c r="P98" s="29">
        <v>1</v>
      </c>
      <c r="Q98" s="29">
        <v>34</v>
      </c>
      <c r="R98" s="17"/>
      <c r="S98" s="29">
        <v>1</v>
      </c>
      <c r="T98" s="17"/>
      <c r="U98" s="17"/>
      <c r="V98" s="17"/>
      <c r="W98" s="17"/>
      <c r="X98" t="s" s="13">
        <v>1580</v>
      </c>
      <c r="Y98" s="17"/>
      <c r="Z98" s="29">
        <v>1</v>
      </c>
      <c r="AA98" s="17"/>
      <c r="AB98" s="29">
        <v>1</v>
      </c>
      <c r="AC98" s="29">
        <v>1</v>
      </c>
      <c r="AD98" s="17"/>
      <c r="AE98" s="17"/>
      <c r="AF98" s="8"/>
      <c r="AG98" s="17"/>
      <c r="AH98" s="17"/>
      <c r="AI98" s="17"/>
      <c r="AJ98" s="17"/>
      <c r="AK98" s="17"/>
      <c r="AL98" s="17"/>
      <c r="AM98" s="17"/>
      <c r="AN98" s="17"/>
      <c r="AO98" s="17"/>
      <c r="AP98" s="17"/>
      <c r="AQ98" s="17"/>
      <c r="AR98" s="17"/>
      <c r="AS98" s="17"/>
      <c r="AT98" s="17"/>
      <c r="AU98" s="17"/>
      <c r="AV98" s="17"/>
      <c r="AW98" s="17"/>
      <c r="AX98" s="17"/>
      <c r="AY98" s="17"/>
    </row>
    <row r="99" ht="17.45" customHeight="1">
      <c r="A99" t="s" s="13">
        <v>1573</v>
      </c>
      <c r="B99" t="s" s="13">
        <v>1574</v>
      </c>
      <c r="C99" s="29">
        <v>37</v>
      </c>
      <c r="D99" t="s" s="13">
        <v>1394</v>
      </c>
      <c r="E99" t="s" s="13">
        <v>1581</v>
      </c>
      <c r="F99" t="s" s="13">
        <v>1582</v>
      </c>
      <c r="G99" s="35">
        <v>1</v>
      </c>
      <c r="H99" s="17"/>
      <c r="I99" s="17"/>
      <c r="J99" s="17"/>
      <c r="K99" s="17"/>
      <c r="L99" s="17"/>
      <c r="M99" s="17"/>
      <c r="N99" s="17"/>
      <c r="O99" s="17"/>
      <c r="P99" s="29">
        <v>1</v>
      </c>
      <c r="Q99" s="29">
        <v>21</v>
      </c>
      <c r="R99" s="17"/>
      <c r="S99" s="29">
        <v>1</v>
      </c>
      <c r="T99" s="17"/>
      <c r="U99" s="17"/>
      <c r="V99" s="17"/>
      <c r="W99" s="17"/>
      <c r="X99" t="s" s="13">
        <v>159</v>
      </c>
      <c r="Y99" s="17"/>
      <c r="Z99" s="29">
        <v>1</v>
      </c>
      <c r="AA99" s="17"/>
      <c r="AB99" s="29">
        <v>1</v>
      </c>
      <c r="AC99" s="17"/>
      <c r="AD99" t="s" s="13">
        <v>400</v>
      </c>
      <c r="AE99" s="17"/>
      <c r="AF99" s="8"/>
      <c r="AG99" s="17"/>
      <c r="AH99" s="17"/>
      <c r="AI99" s="17"/>
      <c r="AJ99" s="17"/>
      <c r="AK99" s="17"/>
      <c r="AL99" s="17"/>
      <c r="AM99" s="17"/>
      <c r="AN99" s="17"/>
      <c r="AO99" s="17"/>
      <c r="AP99" s="17"/>
      <c r="AQ99" s="17"/>
      <c r="AR99" s="17"/>
      <c r="AS99" s="17"/>
      <c r="AT99" s="17"/>
      <c r="AU99" s="17"/>
      <c r="AV99" s="17"/>
      <c r="AW99" s="17"/>
      <c r="AX99" s="17"/>
      <c r="AY99" s="17"/>
    </row>
    <row r="100" ht="17.45" customHeight="1">
      <c r="A100" t="s" s="13">
        <v>1573</v>
      </c>
      <c r="B100" t="s" s="13">
        <v>1574</v>
      </c>
      <c r="C100" s="29">
        <v>37</v>
      </c>
      <c r="D100" t="s" s="13">
        <v>1394</v>
      </c>
      <c r="E100" t="s" s="13">
        <v>1504</v>
      </c>
      <c r="F100" t="s" s="13">
        <v>326</v>
      </c>
      <c r="G100" s="35">
        <v>1</v>
      </c>
      <c r="H100" s="17"/>
      <c r="I100" s="17"/>
      <c r="J100" s="17"/>
      <c r="K100" s="17"/>
      <c r="L100" s="17"/>
      <c r="M100" s="17"/>
      <c r="N100" s="17"/>
      <c r="O100" s="17"/>
      <c r="P100" s="29">
        <v>1</v>
      </c>
      <c r="Q100" s="29">
        <v>18</v>
      </c>
      <c r="R100" s="17"/>
      <c r="S100" s="29">
        <v>1</v>
      </c>
      <c r="T100" s="17"/>
      <c r="U100" s="17"/>
      <c r="V100" s="17"/>
      <c r="W100" s="17"/>
      <c r="X100" t="s" s="13">
        <v>162</v>
      </c>
      <c r="Y100" s="17"/>
      <c r="Z100" s="29">
        <v>1</v>
      </c>
      <c r="AA100" s="17"/>
      <c r="AB100" s="29">
        <v>1</v>
      </c>
      <c r="AC100" s="17"/>
      <c r="AD100" t="s" s="13">
        <v>1183</v>
      </c>
      <c r="AE100" s="17"/>
      <c r="AF100" s="8"/>
      <c r="AG100" s="17"/>
      <c r="AH100" s="17"/>
      <c r="AI100" s="17"/>
      <c r="AJ100" s="17"/>
      <c r="AK100" s="17"/>
      <c r="AL100" s="17"/>
      <c r="AM100" s="17"/>
      <c r="AN100" s="17"/>
      <c r="AO100" s="17"/>
      <c r="AP100" s="17"/>
      <c r="AQ100" s="17"/>
      <c r="AR100" s="17"/>
      <c r="AS100" s="17"/>
      <c r="AT100" s="17"/>
      <c r="AU100" s="17"/>
      <c r="AV100" s="17"/>
      <c r="AW100" s="17"/>
      <c r="AX100" s="17"/>
      <c r="AY100" s="17"/>
    </row>
    <row r="101" ht="17.45" customHeight="1">
      <c r="A101" t="s" s="13">
        <v>1583</v>
      </c>
      <c r="B101" t="s" s="13">
        <v>1574</v>
      </c>
      <c r="C101" s="29">
        <v>37</v>
      </c>
      <c r="D101" t="s" s="13">
        <v>1394</v>
      </c>
      <c r="E101" t="s" s="13">
        <v>153</v>
      </c>
      <c r="F101" t="s" s="13">
        <v>1584</v>
      </c>
      <c r="G101" s="36"/>
      <c r="H101" s="78">
        <v>1</v>
      </c>
      <c r="I101" s="17"/>
      <c r="J101" s="17"/>
      <c r="K101" s="29">
        <v>1</v>
      </c>
      <c r="L101" s="17"/>
      <c r="M101" s="17"/>
      <c r="N101" s="17"/>
      <c r="O101" s="17"/>
      <c r="P101" s="17"/>
      <c r="Q101" s="29">
        <v>65</v>
      </c>
      <c r="R101" s="17"/>
      <c r="S101" s="29">
        <v>1</v>
      </c>
      <c r="T101" s="17"/>
      <c r="U101" s="17"/>
      <c r="V101" s="17"/>
      <c r="W101" s="17"/>
      <c r="X101" t="s" s="13">
        <v>1585</v>
      </c>
      <c r="Y101" s="17"/>
      <c r="Z101" s="29">
        <v>1</v>
      </c>
      <c r="AA101" s="29">
        <v>1</v>
      </c>
      <c r="AB101" s="17"/>
      <c r="AC101" s="29">
        <v>1</v>
      </c>
      <c r="AD101" s="17"/>
      <c r="AE101" s="17"/>
      <c r="AF101" s="8"/>
      <c r="AG101" s="17"/>
      <c r="AH101" s="17"/>
      <c r="AI101" s="17"/>
      <c r="AJ101" s="17"/>
      <c r="AK101" s="17"/>
      <c r="AL101" s="17"/>
      <c r="AM101" s="17"/>
      <c r="AN101" s="17"/>
      <c r="AO101" s="17"/>
      <c r="AP101" s="17"/>
      <c r="AQ101" s="17"/>
      <c r="AR101" s="17"/>
      <c r="AS101" s="17"/>
      <c r="AT101" s="17"/>
      <c r="AU101" s="17"/>
      <c r="AV101" s="17"/>
      <c r="AW101" s="17"/>
      <c r="AX101" s="17"/>
      <c r="AY101" s="17"/>
    </row>
    <row r="102" ht="17.45" customHeight="1">
      <c r="A102" t="s" s="13">
        <v>1586</v>
      </c>
      <c r="B102" t="s" s="13">
        <v>1587</v>
      </c>
      <c r="C102" s="29">
        <v>43</v>
      </c>
      <c r="D102" t="s" s="13">
        <v>1394</v>
      </c>
      <c r="E102" t="s" s="13">
        <v>1588</v>
      </c>
      <c r="F102" t="s" s="13">
        <v>706</v>
      </c>
      <c r="G102" s="36"/>
      <c r="H102" s="78">
        <v>1</v>
      </c>
      <c r="I102" s="17"/>
      <c r="J102" s="17"/>
      <c r="K102" s="29">
        <v>1</v>
      </c>
      <c r="L102" s="17"/>
      <c r="M102" s="17"/>
      <c r="N102" s="17"/>
      <c r="O102" s="17"/>
      <c r="P102" s="17"/>
      <c r="Q102" s="29">
        <v>47</v>
      </c>
      <c r="R102" s="29">
        <v>1</v>
      </c>
      <c r="S102" s="17"/>
      <c r="T102" s="17"/>
      <c r="U102" s="17"/>
      <c r="V102" s="17"/>
      <c r="W102" s="17"/>
      <c r="X102" t="s" s="13">
        <v>1589</v>
      </c>
      <c r="Y102" s="17"/>
      <c r="Z102" s="29">
        <v>1</v>
      </c>
      <c r="AA102" s="29">
        <v>1</v>
      </c>
      <c r="AB102" s="17"/>
      <c r="AC102" s="29">
        <v>1</v>
      </c>
      <c r="AD102" s="17"/>
      <c r="AE102" s="17"/>
      <c r="AF102" s="8"/>
      <c r="AG102" s="17"/>
      <c r="AH102" s="17"/>
      <c r="AI102" s="17"/>
      <c r="AJ102" s="17"/>
      <c r="AK102" s="17"/>
      <c r="AL102" s="17"/>
      <c r="AM102" s="17"/>
      <c r="AN102" s="17"/>
      <c r="AO102" s="17"/>
      <c r="AP102" s="17"/>
      <c r="AQ102" s="17"/>
      <c r="AR102" s="17"/>
      <c r="AS102" s="17"/>
      <c r="AT102" s="17"/>
      <c r="AU102" s="17"/>
      <c r="AV102" s="17"/>
      <c r="AW102" s="17"/>
      <c r="AX102" s="17"/>
      <c r="AY102" s="17"/>
    </row>
    <row r="103" ht="17.45" customHeight="1">
      <c r="A103" t="s" s="13">
        <v>1586</v>
      </c>
      <c r="B103" t="s" s="13">
        <v>1587</v>
      </c>
      <c r="C103" s="29">
        <v>43</v>
      </c>
      <c r="D103" t="s" s="13">
        <v>1394</v>
      </c>
      <c r="E103" t="s" s="13">
        <v>1588</v>
      </c>
      <c r="F103" t="s" s="13">
        <v>1590</v>
      </c>
      <c r="G103" s="35">
        <v>1</v>
      </c>
      <c r="H103" s="17"/>
      <c r="I103" s="17"/>
      <c r="J103" s="17"/>
      <c r="K103" s="17"/>
      <c r="L103" s="29">
        <v>1</v>
      </c>
      <c r="M103" s="17"/>
      <c r="N103" s="17"/>
      <c r="O103" s="17"/>
      <c r="P103" s="17"/>
      <c r="Q103" s="29">
        <v>46</v>
      </c>
      <c r="R103" s="29">
        <v>1</v>
      </c>
      <c r="S103" s="17"/>
      <c r="T103" s="17"/>
      <c r="U103" s="17"/>
      <c r="V103" s="17"/>
      <c r="W103" s="17"/>
      <c r="X103" s="17"/>
      <c r="Y103" s="17"/>
      <c r="Z103" s="17"/>
      <c r="AA103" s="17"/>
      <c r="AB103" s="17"/>
      <c r="AC103" s="17"/>
      <c r="AD103" t="s" s="13">
        <v>435</v>
      </c>
      <c r="AE103" s="17"/>
      <c r="AF103" s="8"/>
      <c r="AG103" s="17"/>
      <c r="AH103" s="17"/>
      <c r="AI103" s="17"/>
      <c r="AJ103" s="17"/>
      <c r="AK103" s="17"/>
      <c r="AL103" s="17"/>
      <c r="AM103" s="17"/>
      <c r="AN103" s="17"/>
      <c r="AO103" s="17"/>
      <c r="AP103" s="17"/>
      <c r="AQ103" s="17"/>
      <c r="AR103" s="17"/>
      <c r="AS103" s="17"/>
      <c r="AT103" s="17"/>
      <c r="AU103" s="17"/>
      <c r="AV103" s="17"/>
      <c r="AW103" s="17"/>
      <c r="AX103" s="17"/>
      <c r="AY103" s="17"/>
    </row>
    <row r="104" ht="17.45" customHeight="1">
      <c r="A104" t="s" s="13">
        <v>1586</v>
      </c>
      <c r="B104" t="s" s="13">
        <v>1587</v>
      </c>
      <c r="C104" s="29">
        <v>43</v>
      </c>
      <c r="D104" t="s" s="13">
        <v>1394</v>
      </c>
      <c r="E104" t="s" s="13">
        <v>1588</v>
      </c>
      <c r="F104" t="s" s="13">
        <v>1591</v>
      </c>
      <c r="G104" s="35">
        <v>1</v>
      </c>
      <c r="H104" s="17"/>
      <c r="I104" s="17"/>
      <c r="J104" s="17"/>
      <c r="K104" s="17"/>
      <c r="L104" s="17"/>
      <c r="M104" s="29">
        <v>1</v>
      </c>
      <c r="N104" s="17"/>
      <c r="O104" s="17"/>
      <c r="P104" s="17"/>
      <c r="Q104" s="29">
        <v>19</v>
      </c>
      <c r="R104" s="17"/>
      <c r="S104" s="29">
        <v>1</v>
      </c>
      <c r="T104" s="17"/>
      <c r="U104" s="17"/>
      <c r="V104" s="17"/>
      <c r="W104" s="17"/>
      <c r="X104" s="17"/>
      <c r="Y104" s="17"/>
      <c r="Z104" s="17"/>
      <c r="AA104" s="17"/>
      <c r="AB104" s="17"/>
      <c r="AC104" s="29">
        <v>1</v>
      </c>
      <c r="AD104" s="17"/>
      <c r="AE104" s="17"/>
      <c r="AF104" s="8"/>
      <c r="AG104" s="17"/>
      <c r="AH104" s="17"/>
      <c r="AI104" s="17"/>
      <c r="AJ104" s="17"/>
      <c r="AK104" s="17"/>
      <c r="AL104" s="17"/>
      <c r="AM104" s="17"/>
      <c r="AN104" s="17"/>
      <c r="AO104" s="17"/>
      <c r="AP104" s="17"/>
      <c r="AQ104" s="17"/>
      <c r="AR104" s="17"/>
      <c r="AS104" s="17"/>
      <c r="AT104" s="17"/>
      <c r="AU104" s="17"/>
      <c r="AV104" s="17"/>
      <c r="AW104" s="17"/>
      <c r="AX104" s="17"/>
      <c r="AY104" s="17"/>
    </row>
    <row r="105" ht="17.45" customHeight="1">
      <c r="A105" t="s" s="13">
        <v>1586</v>
      </c>
      <c r="B105" t="s" s="13">
        <v>1587</v>
      </c>
      <c r="C105" s="29">
        <v>43</v>
      </c>
      <c r="D105" t="s" s="13">
        <v>1394</v>
      </c>
      <c r="E105" t="s" s="13">
        <v>462</v>
      </c>
      <c r="F105" t="s" s="13">
        <v>43</v>
      </c>
      <c r="G105" s="35">
        <v>1</v>
      </c>
      <c r="H105" s="17"/>
      <c r="I105" s="17"/>
      <c r="J105" s="17"/>
      <c r="K105" s="17"/>
      <c r="L105" s="17"/>
      <c r="M105" s="17"/>
      <c r="N105" s="17"/>
      <c r="O105" s="17"/>
      <c r="P105" s="29">
        <v>1</v>
      </c>
      <c r="Q105" s="29">
        <v>34</v>
      </c>
      <c r="R105" s="29">
        <v>1</v>
      </c>
      <c r="S105" s="17"/>
      <c r="T105" s="17"/>
      <c r="U105" s="29">
        <v>8</v>
      </c>
      <c r="V105" s="17"/>
      <c r="W105" s="17"/>
      <c r="X105" t="s" s="13">
        <v>159</v>
      </c>
      <c r="Y105" s="17"/>
      <c r="Z105" s="29">
        <v>1</v>
      </c>
      <c r="AA105" s="17"/>
      <c r="AB105" s="17"/>
      <c r="AC105" s="29">
        <v>1</v>
      </c>
      <c r="AD105" s="17"/>
      <c r="AE105" s="17"/>
      <c r="AF105" s="8"/>
      <c r="AG105" s="17"/>
      <c r="AH105" s="17"/>
      <c r="AI105" s="17"/>
      <c r="AJ105" s="17"/>
      <c r="AK105" s="17"/>
      <c r="AL105" s="17"/>
      <c r="AM105" s="17"/>
      <c r="AN105" s="17"/>
      <c r="AO105" s="17"/>
      <c r="AP105" s="17"/>
      <c r="AQ105" s="17"/>
      <c r="AR105" s="17"/>
      <c r="AS105" s="17"/>
      <c r="AT105" s="17"/>
      <c r="AU105" s="17"/>
      <c r="AV105" s="17"/>
      <c r="AW105" s="17"/>
      <c r="AX105" s="17"/>
      <c r="AY105" s="17"/>
    </row>
    <row r="106" ht="17.45" customHeight="1">
      <c r="A106" t="s" s="13">
        <v>1586</v>
      </c>
      <c r="B106" t="s" s="13">
        <v>1587</v>
      </c>
      <c r="C106" s="29">
        <v>43</v>
      </c>
      <c r="D106" t="s" s="13">
        <v>1394</v>
      </c>
      <c r="E106" t="s" s="13">
        <v>1592</v>
      </c>
      <c r="F106" t="s" s="13">
        <v>389</v>
      </c>
      <c r="G106" s="35">
        <v>1</v>
      </c>
      <c r="H106" s="17"/>
      <c r="I106" s="17"/>
      <c r="J106" s="17"/>
      <c r="K106" s="17"/>
      <c r="L106" s="17"/>
      <c r="M106" s="17"/>
      <c r="N106" s="17"/>
      <c r="O106" s="17"/>
      <c r="P106" s="29">
        <v>1</v>
      </c>
      <c r="Q106" s="29">
        <v>30</v>
      </c>
      <c r="R106" s="17"/>
      <c r="S106" s="29">
        <v>1</v>
      </c>
      <c r="T106" s="17"/>
      <c r="U106" s="17"/>
      <c r="V106" s="17"/>
      <c r="W106" s="17"/>
      <c r="X106" t="s" s="13">
        <v>162</v>
      </c>
      <c r="Y106" s="17"/>
      <c r="Z106" s="29">
        <v>1</v>
      </c>
      <c r="AA106" s="17"/>
      <c r="AB106" s="17"/>
      <c r="AC106" s="29">
        <v>1</v>
      </c>
      <c r="AD106" s="17"/>
      <c r="AE106" s="17"/>
      <c r="AF106" s="8"/>
      <c r="AG106" s="17"/>
      <c r="AH106" s="17"/>
      <c r="AI106" s="17"/>
      <c r="AJ106" s="17"/>
      <c r="AK106" s="17"/>
      <c r="AL106" s="17"/>
      <c r="AM106" s="17"/>
      <c r="AN106" s="17"/>
      <c r="AO106" s="17"/>
      <c r="AP106" s="17"/>
      <c r="AQ106" s="17"/>
      <c r="AR106" s="17"/>
      <c r="AS106" s="17"/>
      <c r="AT106" s="17"/>
      <c r="AU106" s="17"/>
      <c r="AV106" s="17"/>
      <c r="AW106" s="17"/>
      <c r="AX106" s="17"/>
      <c r="AY106" s="17"/>
    </row>
    <row r="107" ht="17.45" customHeight="1">
      <c r="A107" t="s" s="13">
        <v>1593</v>
      </c>
      <c r="B107" s="17"/>
      <c r="C107" s="29">
        <v>45</v>
      </c>
      <c r="D107" t="s" s="13">
        <v>1394</v>
      </c>
      <c r="E107" t="s" s="13">
        <v>1594</v>
      </c>
      <c r="F107" t="s" s="13">
        <v>1595</v>
      </c>
      <c r="G107" s="35">
        <v>1</v>
      </c>
      <c r="H107" s="17"/>
      <c r="I107" s="17"/>
      <c r="J107" s="17"/>
      <c r="K107" s="29">
        <v>1</v>
      </c>
      <c r="L107" s="17"/>
      <c r="M107" s="17"/>
      <c r="N107" s="17"/>
      <c r="O107" s="17"/>
      <c r="P107" s="17"/>
      <c r="Q107" s="29">
        <v>75</v>
      </c>
      <c r="R107" s="17"/>
      <c r="S107" s="17"/>
      <c r="T107" s="29">
        <v>1</v>
      </c>
      <c r="U107" s="29">
        <v>52</v>
      </c>
      <c r="V107" s="29">
        <v>8</v>
      </c>
      <c r="W107" s="29">
        <v>7</v>
      </c>
      <c r="X107" t="s" s="13">
        <v>456</v>
      </c>
      <c r="Y107" s="17"/>
      <c r="Z107" s="17"/>
      <c r="AA107" s="17"/>
      <c r="AB107" s="17"/>
      <c r="AC107" s="17"/>
      <c r="AD107" t="s" s="13">
        <v>146</v>
      </c>
      <c r="AE107" s="17"/>
      <c r="AF107" s="8"/>
      <c r="AG107" s="17"/>
      <c r="AH107" s="17"/>
      <c r="AI107" s="17"/>
      <c r="AJ107" s="17"/>
      <c r="AK107" s="17"/>
      <c r="AL107" s="17"/>
      <c r="AM107" s="17"/>
      <c r="AN107" s="17"/>
      <c r="AO107" s="17"/>
      <c r="AP107" s="17"/>
      <c r="AQ107" s="17"/>
      <c r="AR107" s="17"/>
      <c r="AS107" s="17"/>
      <c r="AT107" s="17"/>
      <c r="AU107" s="17"/>
      <c r="AV107" s="17"/>
      <c r="AW107" s="17"/>
      <c r="AX107" s="17"/>
      <c r="AY107" s="17"/>
    </row>
    <row r="108" ht="17.45" customHeight="1">
      <c r="A108" t="s" s="13">
        <v>1593</v>
      </c>
      <c r="B108" s="17"/>
      <c r="C108" s="29">
        <v>45</v>
      </c>
      <c r="D108" t="s" s="13">
        <v>1394</v>
      </c>
      <c r="E108" t="s" s="13">
        <v>1594</v>
      </c>
      <c r="F108" t="s" s="13">
        <v>1596</v>
      </c>
      <c r="G108" s="35">
        <v>1</v>
      </c>
      <c r="H108" s="17"/>
      <c r="I108" s="17"/>
      <c r="J108" s="17"/>
      <c r="K108" s="17"/>
      <c r="L108" s="17"/>
      <c r="M108" s="29">
        <v>1</v>
      </c>
      <c r="N108" s="17"/>
      <c r="O108" s="17"/>
      <c r="P108" s="17"/>
      <c r="Q108" s="29">
        <v>50</v>
      </c>
      <c r="R108" s="17"/>
      <c r="S108" s="29">
        <v>1</v>
      </c>
      <c r="T108" s="17"/>
      <c r="U108" s="17"/>
      <c r="V108" s="17"/>
      <c r="W108" s="17"/>
      <c r="X108" s="17"/>
      <c r="Y108" s="17"/>
      <c r="Z108" s="17"/>
      <c r="AA108" s="17"/>
      <c r="AB108" s="17"/>
      <c r="AC108" s="17"/>
      <c r="AD108" t="s" s="13">
        <v>1597</v>
      </c>
      <c r="AE108" s="17"/>
      <c r="AF108" s="8"/>
      <c r="AG108" s="17"/>
      <c r="AH108" s="17"/>
      <c r="AI108" s="17"/>
      <c r="AJ108" s="17"/>
      <c r="AK108" s="17"/>
      <c r="AL108" s="17"/>
      <c r="AM108" s="17"/>
      <c r="AN108" s="17"/>
      <c r="AO108" s="17"/>
      <c r="AP108" s="17"/>
      <c r="AQ108" s="17"/>
      <c r="AR108" s="17"/>
      <c r="AS108" s="17"/>
      <c r="AT108" s="17"/>
      <c r="AU108" s="17"/>
      <c r="AV108" s="17"/>
      <c r="AW108" s="17"/>
      <c r="AX108" s="17"/>
      <c r="AY108" s="17"/>
    </row>
    <row r="109" ht="17.45" customHeight="1">
      <c r="A109" t="s" s="13">
        <v>1593</v>
      </c>
      <c r="B109" s="17"/>
      <c r="C109" s="29">
        <v>45</v>
      </c>
      <c r="D109" t="s" s="13">
        <v>1394</v>
      </c>
      <c r="E109" t="s" s="13">
        <v>1594</v>
      </c>
      <c r="F109" t="s" s="13">
        <v>1598</v>
      </c>
      <c r="G109" s="36"/>
      <c r="H109" s="78">
        <v>1</v>
      </c>
      <c r="I109" s="17"/>
      <c r="J109" s="17"/>
      <c r="K109" s="17"/>
      <c r="L109" s="17"/>
      <c r="M109" s="17"/>
      <c r="N109" s="29">
        <v>1</v>
      </c>
      <c r="O109" s="17"/>
      <c r="P109" s="17"/>
      <c r="Q109" s="29">
        <v>44</v>
      </c>
      <c r="R109" s="17"/>
      <c r="S109" s="29">
        <v>1</v>
      </c>
      <c r="T109" s="17"/>
      <c r="U109" s="17"/>
      <c r="V109" s="17"/>
      <c r="W109" s="17"/>
      <c r="X109" t="s" s="13">
        <v>265</v>
      </c>
      <c r="Y109" s="17"/>
      <c r="Z109" s="29">
        <v>1</v>
      </c>
      <c r="AA109" s="29">
        <v>1</v>
      </c>
      <c r="AB109" s="17"/>
      <c r="AC109" s="29">
        <v>1</v>
      </c>
      <c r="AD109" s="17"/>
      <c r="AE109" s="17"/>
      <c r="AF109" s="8"/>
      <c r="AG109" s="17"/>
      <c r="AH109" s="17"/>
      <c r="AI109" s="17"/>
      <c r="AJ109" s="17"/>
      <c r="AK109" s="17"/>
      <c r="AL109" s="17"/>
      <c r="AM109" s="17"/>
      <c r="AN109" s="17"/>
      <c r="AO109" s="17"/>
      <c r="AP109" s="17"/>
      <c r="AQ109" s="17"/>
      <c r="AR109" s="17"/>
      <c r="AS109" s="17"/>
      <c r="AT109" s="17"/>
      <c r="AU109" s="17"/>
      <c r="AV109" s="17"/>
      <c r="AW109" s="17"/>
      <c r="AX109" s="17"/>
      <c r="AY109" s="17"/>
    </row>
    <row r="110" ht="17.45" customHeight="1">
      <c r="A110" t="s" s="13">
        <v>1593</v>
      </c>
      <c r="B110" s="17"/>
      <c r="C110" s="29">
        <v>45</v>
      </c>
      <c r="D110" t="s" s="13">
        <v>1394</v>
      </c>
      <c r="E110" t="s" s="13">
        <v>1594</v>
      </c>
      <c r="F110" t="s" s="13">
        <v>1599</v>
      </c>
      <c r="G110" s="35">
        <v>1</v>
      </c>
      <c r="H110" s="17"/>
      <c r="I110" s="17"/>
      <c r="J110" s="17"/>
      <c r="K110" s="17"/>
      <c r="L110" s="17"/>
      <c r="M110" s="29">
        <v>1</v>
      </c>
      <c r="N110" s="17"/>
      <c r="O110" s="17"/>
      <c r="P110" s="17"/>
      <c r="Q110" s="29">
        <v>42</v>
      </c>
      <c r="R110" s="17"/>
      <c r="S110" s="29">
        <v>1</v>
      </c>
      <c r="T110" s="17"/>
      <c r="U110" s="17"/>
      <c r="V110" s="17"/>
      <c r="W110" s="17"/>
      <c r="X110" s="17"/>
      <c r="Y110" s="17"/>
      <c r="Z110" s="17"/>
      <c r="AA110" s="17"/>
      <c r="AB110" s="17"/>
      <c r="AC110" s="29">
        <v>1</v>
      </c>
      <c r="AD110" s="17"/>
      <c r="AE110" s="17"/>
      <c r="AF110" s="8"/>
      <c r="AG110" s="17"/>
      <c r="AH110" s="17"/>
      <c r="AI110" s="17"/>
      <c r="AJ110" s="17"/>
      <c r="AK110" s="17"/>
      <c r="AL110" s="17"/>
      <c r="AM110" s="17"/>
      <c r="AN110" s="17"/>
      <c r="AO110" s="17"/>
      <c r="AP110" s="17"/>
      <c r="AQ110" s="17"/>
      <c r="AR110" s="17"/>
      <c r="AS110" s="17"/>
      <c r="AT110" s="17"/>
      <c r="AU110" s="17"/>
      <c r="AV110" s="17"/>
      <c r="AW110" s="17"/>
      <c r="AX110" s="17"/>
      <c r="AY110" s="17"/>
    </row>
    <row r="111" ht="17.45" customHeight="1">
      <c r="A111" t="s" s="13">
        <v>1593</v>
      </c>
      <c r="B111" s="17"/>
      <c r="C111" s="29">
        <v>45</v>
      </c>
      <c r="D111" t="s" s="13">
        <v>1394</v>
      </c>
      <c r="E111" t="s" s="13">
        <v>1594</v>
      </c>
      <c r="F111" t="s" s="13">
        <v>1600</v>
      </c>
      <c r="G111" s="36"/>
      <c r="H111" s="78">
        <v>1</v>
      </c>
      <c r="I111" s="17"/>
      <c r="J111" s="17"/>
      <c r="K111" s="17"/>
      <c r="L111" s="17"/>
      <c r="M111" s="17"/>
      <c r="N111" s="29">
        <v>1</v>
      </c>
      <c r="O111" s="17"/>
      <c r="P111" s="17"/>
      <c r="Q111" s="29">
        <v>37</v>
      </c>
      <c r="R111" s="17"/>
      <c r="S111" s="29">
        <v>1</v>
      </c>
      <c r="T111" s="17"/>
      <c r="U111" s="17"/>
      <c r="V111" s="17"/>
      <c r="W111" s="17"/>
      <c r="X111" t="s" s="13">
        <v>1601</v>
      </c>
      <c r="Y111" s="17"/>
      <c r="Z111" s="29">
        <v>1</v>
      </c>
      <c r="AA111" s="29">
        <v>1</v>
      </c>
      <c r="AB111" s="17"/>
      <c r="AC111" s="29">
        <v>1</v>
      </c>
      <c r="AD111" s="17"/>
      <c r="AE111" s="17"/>
      <c r="AF111" s="8"/>
      <c r="AG111" s="17"/>
      <c r="AH111" s="17"/>
      <c r="AI111" s="17"/>
      <c r="AJ111" s="17"/>
      <c r="AK111" s="17"/>
      <c r="AL111" s="17"/>
      <c r="AM111" s="17"/>
      <c r="AN111" s="17"/>
      <c r="AO111" s="17"/>
      <c r="AP111" s="17"/>
      <c r="AQ111" s="17"/>
      <c r="AR111" s="17"/>
      <c r="AS111" s="17"/>
      <c r="AT111" s="17"/>
      <c r="AU111" s="17"/>
      <c r="AV111" s="17"/>
      <c r="AW111" s="17"/>
      <c r="AX111" s="17"/>
      <c r="AY111" s="17"/>
    </row>
    <row r="112" ht="17.45" customHeight="1">
      <c r="A112" t="s" s="13">
        <v>1593</v>
      </c>
      <c r="B112" s="17"/>
      <c r="C112" s="29">
        <v>45</v>
      </c>
      <c r="D112" t="s" s="13">
        <v>1394</v>
      </c>
      <c r="E112" t="s" s="13">
        <v>1594</v>
      </c>
      <c r="F112" t="s" s="13">
        <v>1602</v>
      </c>
      <c r="G112" s="35">
        <v>1</v>
      </c>
      <c r="H112" s="17"/>
      <c r="I112" s="17"/>
      <c r="J112" s="17"/>
      <c r="K112" s="17"/>
      <c r="L112" s="17"/>
      <c r="M112" s="29">
        <v>1</v>
      </c>
      <c r="N112" s="17"/>
      <c r="O112" s="17"/>
      <c r="P112" s="17"/>
      <c r="Q112" s="29">
        <v>28</v>
      </c>
      <c r="R112" s="17"/>
      <c r="S112" s="29">
        <v>1</v>
      </c>
      <c r="T112" s="17"/>
      <c r="U112" s="17"/>
      <c r="V112" s="17"/>
      <c r="W112" s="17"/>
      <c r="X112" s="17"/>
      <c r="Y112" s="17"/>
      <c r="Z112" s="17"/>
      <c r="AA112" s="17"/>
      <c r="AB112" s="17"/>
      <c r="AC112" s="29">
        <v>1</v>
      </c>
      <c r="AD112" s="17"/>
      <c r="AE112" s="17"/>
      <c r="AF112" s="8"/>
      <c r="AG112" s="17"/>
      <c r="AH112" s="17"/>
      <c r="AI112" s="17"/>
      <c r="AJ112" s="17"/>
      <c r="AK112" s="17"/>
      <c r="AL112" s="17"/>
      <c r="AM112" s="17"/>
      <c r="AN112" s="17"/>
      <c r="AO112" s="17"/>
      <c r="AP112" s="17"/>
      <c r="AQ112" s="17"/>
      <c r="AR112" s="17"/>
      <c r="AS112" s="17"/>
      <c r="AT112" s="17"/>
      <c r="AU112" s="17"/>
      <c r="AV112" s="17"/>
      <c r="AW112" s="17"/>
      <c r="AX112" s="17"/>
      <c r="AY112" s="17"/>
    </row>
    <row r="113" ht="17.45" customHeight="1">
      <c r="A113" t="s" s="13">
        <v>1593</v>
      </c>
      <c r="B113" s="17"/>
      <c r="C113" s="29">
        <v>45</v>
      </c>
      <c r="D113" t="s" s="13">
        <v>1394</v>
      </c>
      <c r="E113" t="s" s="13">
        <v>529</v>
      </c>
      <c r="F113" t="s" s="13">
        <v>134</v>
      </c>
      <c r="G113" s="35">
        <v>1</v>
      </c>
      <c r="H113" s="17"/>
      <c r="I113" s="17"/>
      <c r="J113" s="17"/>
      <c r="K113" s="17"/>
      <c r="L113" s="17"/>
      <c r="M113" s="17"/>
      <c r="N113" s="17"/>
      <c r="O113" s="17"/>
      <c r="P113" s="29">
        <v>1</v>
      </c>
      <c r="Q113" s="29">
        <v>30</v>
      </c>
      <c r="R113" s="17"/>
      <c r="S113" s="29">
        <v>1</v>
      </c>
      <c r="T113" s="17"/>
      <c r="U113" s="17"/>
      <c r="V113" s="17"/>
      <c r="W113" s="17"/>
      <c r="X113" t="s" s="13">
        <v>1603</v>
      </c>
      <c r="Y113" s="17"/>
      <c r="Z113" s="29">
        <v>1</v>
      </c>
      <c r="AA113" s="17"/>
      <c r="AB113" s="17"/>
      <c r="AC113" s="17"/>
      <c r="AD113" t="s" s="13">
        <v>607</v>
      </c>
      <c r="AE113" s="17"/>
      <c r="AF113" s="8"/>
      <c r="AG113" s="17"/>
      <c r="AH113" s="17"/>
      <c r="AI113" s="17"/>
      <c r="AJ113" s="17"/>
      <c r="AK113" s="17"/>
      <c r="AL113" s="17"/>
      <c r="AM113" s="17"/>
      <c r="AN113" s="17"/>
      <c r="AO113" s="17"/>
      <c r="AP113" s="17"/>
      <c r="AQ113" s="17"/>
      <c r="AR113" s="17"/>
      <c r="AS113" s="17"/>
      <c r="AT113" s="17"/>
      <c r="AU113" s="17"/>
      <c r="AV113" s="17"/>
      <c r="AW113" s="17"/>
      <c r="AX113" s="17"/>
      <c r="AY113" s="17"/>
    </row>
    <row r="114" ht="17.45" customHeight="1">
      <c r="A114" t="s" s="13">
        <v>1593</v>
      </c>
      <c r="B114" s="17"/>
      <c r="C114" s="29">
        <v>45</v>
      </c>
      <c r="D114" t="s" s="13">
        <v>1394</v>
      </c>
      <c r="E114" t="s" s="13">
        <v>1604</v>
      </c>
      <c r="F114" t="s" s="13">
        <v>696</v>
      </c>
      <c r="G114" s="35">
        <v>1</v>
      </c>
      <c r="H114" s="17"/>
      <c r="I114" s="17"/>
      <c r="J114" s="17"/>
      <c r="K114" s="17"/>
      <c r="L114" s="17"/>
      <c r="M114" s="17"/>
      <c r="N114" s="17"/>
      <c r="O114" s="17"/>
      <c r="P114" s="29">
        <v>1</v>
      </c>
      <c r="Q114" s="29">
        <v>17</v>
      </c>
      <c r="R114" s="17"/>
      <c r="S114" s="29">
        <v>1</v>
      </c>
      <c r="T114" s="17"/>
      <c r="U114" s="17"/>
      <c r="V114" s="17"/>
      <c r="W114" s="17"/>
      <c r="X114" t="s" s="13">
        <v>162</v>
      </c>
      <c r="Y114" s="17"/>
      <c r="Z114" s="29">
        <v>1</v>
      </c>
      <c r="AA114" s="17"/>
      <c r="AB114" s="17"/>
      <c r="AC114" s="29">
        <v>1</v>
      </c>
      <c r="AD114" s="17"/>
      <c r="AE114" s="17"/>
      <c r="AF114" s="8"/>
      <c r="AG114" s="17"/>
      <c r="AH114" s="17"/>
      <c r="AI114" s="17"/>
      <c r="AJ114" s="17"/>
      <c r="AK114" s="17"/>
      <c r="AL114" s="17"/>
      <c r="AM114" s="17"/>
      <c r="AN114" s="17"/>
      <c r="AO114" s="17"/>
      <c r="AP114" s="17"/>
      <c r="AQ114" s="17"/>
      <c r="AR114" s="17"/>
      <c r="AS114" s="17"/>
      <c r="AT114" s="17"/>
      <c r="AU114" s="17"/>
      <c r="AV114" s="17"/>
      <c r="AW114" s="17"/>
      <c r="AX114" s="17"/>
      <c r="AY114" s="17"/>
    </row>
    <row r="115" ht="17.45" customHeight="1">
      <c r="A115" t="s" s="13">
        <v>1605</v>
      </c>
      <c r="B115" t="s" s="13">
        <v>1606</v>
      </c>
      <c r="C115" s="29">
        <v>47</v>
      </c>
      <c r="D115" t="s" s="13">
        <v>1394</v>
      </c>
      <c r="E115" t="s" s="13">
        <v>1607</v>
      </c>
      <c r="F115" t="s" s="13">
        <v>1608</v>
      </c>
      <c r="G115" s="36"/>
      <c r="H115" s="78">
        <v>1</v>
      </c>
      <c r="I115" s="17"/>
      <c r="J115" s="17"/>
      <c r="K115" s="29">
        <v>1</v>
      </c>
      <c r="L115" s="17"/>
      <c r="M115" s="17"/>
      <c r="N115" s="17"/>
      <c r="O115" s="17"/>
      <c r="P115" s="17"/>
      <c r="Q115" s="29">
        <v>58</v>
      </c>
      <c r="R115" s="29">
        <v>1</v>
      </c>
      <c r="S115" s="17"/>
      <c r="T115" s="17"/>
      <c r="U115" s="17"/>
      <c r="V115" s="17"/>
      <c r="W115" s="17"/>
      <c r="X115" t="s" s="13">
        <v>360</v>
      </c>
      <c r="Y115" t="s" s="13">
        <v>1609</v>
      </c>
      <c r="Z115" s="29">
        <v>1</v>
      </c>
      <c r="AA115" s="17"/>
      <c r="AB115" s="29">
        <v>1</v>
      </c>
      <c r="AC115" s="29">
        <v>1</v>
      </c>
      <c r="AD115" s="17"/>
      <c r="AE115" s="17"/>
      <c r="AF115" s="8"/>
      <c r="AG115" s="17"/>
      <c r="AH115" s="17"/>
      <c r="AI115" s="17"/>
      <c r="AJ115" s="17"/>
      <c r="AK115" s="17"/>
      <c r="AL115" s="17"/>
      <c r="AM115" s="17"/>
      <c r="AN115" s="17"/>
      <c r="AO115" s="17"/>
      <c r="AP115" s="17"/>
      <c r="AQ115" s="17"/>
      <c r="AR115" s="17"/>
      <c r="AS115" s="17"/>
      <c r="AT115" s="17"/>
      <c r="AU115" s="17"/>
      <c r="AV115" s="17"/>
      <c r="AW115" s="17"/>
      <c r="AX115" s="17"/>
      <c r="AY115" s="17"/>
    </row>
    <row r="116" ht="17.45" customHeight="1">
      <c r="A116" t="s" s="13">
        <v>1605</v>
      </c>
      <c r="B116" t="s" s="13">
        <v>1606</v>
      </c>
      <c r="C116" s="29">
        <v>47</v>
      </c>
      <c r="D116" t="s" s="13">
        <v>1394</v>
      </c>
      <c r="E116" t="s" s="13">
        <v>1607</v>
      </c>
      <c r="F116" t="s" s="13">
        <v>1610</v>
      </c>
      <c r="G116" s="35">
        <v>1</v>
      </c>
      <c r="H116" s="17"/>
      <c r="I116" s="17"/>
      <c r="J116" s="17"/>
      <c r="K116" s="17"/>
      <c r="L116" s="29">
        <v>1</v>
      </c>
      <c r="M116" s="17"/>
      <c r="N116" s="17"/>
      <c r="O116" s="17"/>
      <c r="P116" s="17"/>
      <c r="Q116" s="29">
        <v>55</v>
      </c>
      <c r="R116" s="29">
        <v>1</v>
      </c>
      <c r="S116" s="17"/>
      <c r="T116" s="17"/>
      <c r="U116" s="29">
        <v>32</v>
      </c>
      <c r="V116" s="17"/>
      <c r="W116" s="17"/>
      <c r="X116" s="17"/>
      <c r="Y116" s="17"/>
      <c r="Z116" s="17"/>
      <c r="AA116" s="17"/>
      <c r="AB116" s="17"/>
      <c r="AC116" s="17"/>
      <c r="AD116" t="s" s="13">
        <v>151</v>
      </c>
      <c r="AE116" s="17"/>
      <c r="AF116" s="8"/>
      <c r="AG116" s="17"/>
      <c r="AH116" s="17"/>
      <c r="AI116" s="17"/>
      <c r="AJ116" s="17"/>
      <c r="AK116" s="17"/>
      <c r="AL116" s="17"/>
      <c r="AM116" s="17"/>
      <c r="AN116" s="17"/>
      <c r="AO116" s="17"/>
      <c r="AP116" s="17"/>
      <c r="AQ116" s="17"/>
      <c r="AR116" s="17"/>
      <c r="AS116" s="17"/>
      <c r="AT116" s="17"/>
      <c r="AU116" s="17"/>
      <c r="AV116" s="17"/>
      <c r="AW116" s="17"/>
      <c r="AX116" s="17"/>
      <c r="AY116" s="17"/>
    </row>
    <row r="117" ht="17.45" customHeight="1">
      <c r="A117" t="s" s="13">
        <v>1605</v>
      </c>
      <c r="B117" t="s" s="13">
        <v>1606</v>
      </c>
      <c r="C117" s="29">
        <v>47</v>
      </c>
      <c r="D117" t="s" s="13">
        <v>1394</v>
      </c>
      <c r="E117" t="s" s="13">
        <v>1607</v>
      </c>
      <c r="F117" t="s" s="13">
        <v>1611</v>
      </c>
      <c r="G117" s="35">
        <v>1</v>
      </c>
      <c r="H117" s="17"/>
      <c r="I117" s="17"/>
      <c r="J117" s="17"/>
      <c r="K117" s="17"/>
      <c r="L117" s="17"/>
      <c r="M117" s="17"/>
      <c r="N117" s="17"/>
      <c r="O117" t="s" s="13">
        <v>175</v>
      </c>
      <c r="P117" s="17"/>
      <c r="Q117" s="29">
        <v>61</v>
      </c>
      <c r="R117" s="17"/>
      <c r="S117" s="29">
        <v>1</v>
      </c>
      <c r="T117" s="17"/>
      <c r="U117" s="17"/>
      <c r="V117" s="17"/>
      <c r="W117" s="17"/>
      <c r="X117" s="17"/>
      <c r="Y117" s="17"/>
      <c r="Z117" s="17"/>
      <c r="AA117" s="17"/>
      <c r="AB117" s="17"/>
      <c r="AC117" s="29">
        <v>1</v>
      </c>
      <c r="AD117" s="17"/>
      <c r="AE117" s="17"/>
      <c r="AF117" s="8"/>
      <c r="AG117" s="17"/>
      <c r="AH117" s="17"/>
      <c r="AI117" s="17"/>
      <c r="AJ117" s="17"/>
      <c r="AK117" s="17"/>
      <c r="AL117" s="17"/>
      <c r="AM117" s="17"/>
      <c r="AN117" s="17"/>
      <c r="AO117" s="17"/>
      <c r="AP117" s="17"/>
      <c r="AQ117" s="17"/>
      <c r="AR117" s="17"/>
      <c r="AS117" s="17"/>
      <c r="AT117" s="17"/>
      <c r="AU117" s="17"/>
      <c r="AV117" s="17"/>
      <c r="AW117" s="17"/>
      <c r="AX117" s="17"/>
      <c r="AY117" s="17"/>
    </row>
    <row r="118" ht="17.45" customHeight="1">
      <c r="A118" t="s" s="13">
        <v>1605</v>
      </c>
      <c r="B118" t="s" s="13">
        <v>1606</v>
      </c>
      <c r="C118" s="29">
        <v>47</v>
      </c>
      <c r="D118" t="s" s="13">
        <v>1394</v>
      </c>
      <c r="E118" t="s" s="13">
        <v>1612</v>
      </c>
      <c r="F118" t="s" s="13">
        <v>1548</v>
      </c>
      <c r="G118" s="35">
        <v>1</v>
      </c>
      <c r="H118" s="17"/>
      <c r="I118" s="17"/>
      <c r="J118" s="17"/>
      <c r="K118" s="17"/>
      <c r="L118" s="17"/>
      <c r="M118" s="17"/>
      <c r="N118" s="17"/>
      <c r="O118" s="17"/>
      <c r="P118" s="17"/>
      <c r="Q118" s="29">
        <v>19</v>
      </c>
      <c r="R118" s="17"/>
      <c r="S118" s="29">
        <v>1</v>
      </c>
      <c r="T118" s="17"/>
      <c r="U118" s="17"/>
      <c r="V118" s="17"/>
      <c r="W118" s="17"/>
      <c r="X118" s="17"/>
      <c r="Y118" s="17"/>
      <c r="Z118" s="17"/>
      <c r="AA118" s="17"/>
      <c r="AB118" s="17"/>
      <c r="AC118" s="17"/>
      <c r="AD118" t="s" s="13">
        <v>1183</v>
      </c>
      <c r="AE118" s="17"/>
      <c r="AF118" s="8"/>
      <c r="AG118" s="17"/>
      <c r="AH118" s="17"/>
      <c r="AI118" s="17"/>
      <c r="AJ118" s="17"/>
      <c r="AK118" s="17"/>
      <c r="AL118" s="17"/>
      <c r="AM118" s="17"/>
      <c r="AN118" s="17"/>
      <c r="AO118" s="17"/>
      <c r="AP118" s="17"/>
      <c r="AQ118" s="17"/>
      <c r="AR118" s="17"/>
      <c r="AS118" s="17"/>
      <c r="AT118" s="17"/>
      <c r="AU118" s="17"/>
      <c r="AV118" s="17"/>
      <c r="AW118" s="17"/>
      <c r="AX118" s="17"/>
      <c r="AY118" s="17"/>
    </row>
    <row r="119" ht="17.45" customHeight="1">
      <c r="A119" t="s" s="13">
        <v>1613</v>
      </c>
      <c r="B119" t="s" s="13">
        <v>1614</v>
      </c>
      <c r="C119" s="29">
        <v>10</v>
      </c>
      <c r="D119" t="s" s="13">
        <v>1394</v>
      </c>
      <c r="E119" t="s" s="13">
        <v>444</v>
      </c>
      <c r="F119" t="s" s="13">
        <v>1615</v>
      </c>
      <c r="G119" s="36"/>
      <c r="H119" s="78">
        <v>1</v>
      </c>
      <c r="I119" s="17"/>
      <c r="J119" s="17"/>
      <c r="K119" s="29">
        <v>1</v>
      </c>
      <c r="L119" s="17"/>
      <c r="M119" s="17"/>
      <c r="N119" s="17"/>
      <c r="O119" s="17"/>
      <c r="P119" s="17"/>
      <c r="Q119" s="29">
        <v>34</v>
      </c>
      <c r="R119" s="29">
        <v>1</v>
      </c>
      <c r="S119" s="17"/>
      <c r="T119" s="17"/>
      <c r="U119" s="17"/>
      <c r="V119" s="17"/>
      <c r="W119" s="17"/>
      <c r="X119" t="s" s="13">
        <v>1616</v>
      </c>
      <c r="Y119" t="s" s="13">
        <v>1617</v>
      </c>
      <c r="Z119" s="29">
        <v>1</v>
      </c>
      <c r="AA119" s="29">
        <v>1</v>
      </c>
      <c r="AB119" s="17"/>
      <c r="AC119" s="29">
        <v>1</v>
      </c>
      <c r="AD119" s="17"/>
      <c r="AE119" s="17"/>
      <c r="AF119" s="8"/>
      <c r="AG119" s="17"/>
      <c r="AH119" s="17"/>
      <c r="AI119" s="17"/>
      <c r="AJ119" s="17"/>
      <c r="AK119" s="17"/>
      <c r="AL119" s="17"/>
      <c r="AM119" s="17"/>
      <c r="AN119" s="17"/>
      <c r="AO119" s="17"/>
      <c r="AP119" s="17"/>
      <c r="AQ119" s="17"/>
      <c r="AR119" s="17"/>
      <c r="AS119" s="17"/>
      <c r="AT119" s="17"/>
      <c r="AU119" s="17"/>
      <c r="AV119" s="17"/>
      <c r="AW119" s="17"/>
      <c r="AX119" s="17"/>
      <c r="AY119" s="17"/>
    </row>
    <row r="120" ht="17.45" customHeight="1">
      <c r="A120" t="s" s="13">
        <v>1613</v>
      </c>
      <c r="B120" t="s" s="13">
        <v>1614</v>
      </c>
      <c r="C120" s="29">
        <v>10</v>
      </c>
      <c r="D120" t="s" s="13">
        <v>1394</v>
      </c>
      <c r="E120" t="s" s="13">
        <v>444</v>
      </c>
      <c r="F120" t="s" s="13">
        <v>1111</v>
      </c>
      <c r="G120" s="35">
        <v>1</v>
      </c>
      <c r="H120" s="17"/>
      <c r="I120" s="17"/>
      <c r="J120" s="17"/>
      <c r="K120" s="17"/>
      <c r="L120" s="29">
        <v>1</v>
      </c>
      <c r="M120" s="17"/>
      <c r="N120" s="17"/>
      <c r="O120" s="17"/>
      <c r="P120" s="17"/>
      <c r="Q120" s="29">
        <v>30</v>
      </c>
      <c r="R120" s="29">
        <v>1</v>
      </c>
      <c r="S120" s="17"/>
      <c r="T120" s="17"/>
      <c r="U120" s="29">
        <v>9</v>
      </c>
      <c r="V120" s="29">
        <v>4</v>
      </c>
      <c r="W120" s="29">
        <v>4</v>
      </c>
      <c r="X120" s="17"/>
      <c r="Y120" s="17"/>
      <c r="Z120" s="17"/>
      <c r="AA120" s="17"/>
      <c r="AB120" s="17"/>
      <c r="AC120" s="29">
        <v>1</v>
      </c>
      <c r="AD120" s="17"/>
      <c r="AE120" s="17"/>
      <c r="AF120" s="8"/>
      <c r="AG120" s="17"/>
      <c r="AH120" s="17"/>
      <c r="AI120" s="17"/>
      <c r="AJ120" s="17"/>
      <c r="AK120" s="17"/>
      <c r="AL120" s="17"/>
      <c r="AM120" s="17"/>
      <c r="AN120" s="17"/>
      <c r="AO120" s="17"/>
      <c r="AP120" s="17"/>
      <c r="AQ120" s="17"/>
      <c r="AR120" s="17"/>
      <c r="AS120" s="17"/>
      <c r="AT120" s="17"/>
      <c r="AU120" s="17"/>
      <c r="AV120" s="17"/>
      <c r="AW120" s="17"/>
      <c r="AX120" s="17"/>
      <c r="AY120" s="17"/>
    </row>
    <row r="121" ht="17.45" customHeight="1">
      <c r="A121" t="s" s="13">
        <v>1613</v>
      </c>
      <c r="B121" t="s" s="13">
        <v>1614</v>
      </c>
      <c r="C121" s="29">
        <v>10</v>
      </c>
      <c r="D121" t="s" s="13">
        <v>1394</v>
      </c>
      <c r="E121" t="s" s="13">
        <v>444</v>
      </c>
      <c r="F121" t="s" s="13">
        <v>1618</v>
      </c>
      <c r="G121" s="36"/>
      <c r="H121" s="17"/>
      <c r="I121" s="17"/>
      <c r="J121" s="29">
        <v>1</v>
      </c>
      <c r="K121" s="17"/>
      <c r="L121" s="17"/>
      <c r="M121" s="17"/>
      <c r="N121" s="29">
        <v>1</v>
      </c>
      <c r="O121" s="17"/>
      <c r="P121" s="17"/>
      <c r="Q121" s="29">
        <v>7</v>
      </c>
      <c r="R121" s="17"/>
      <c r="S121" s="17"/>
      <c r="T121" s="17"/>
      <c r="U121" s="17"/>
      <c r="V121" s="17"/>
      <c r="W121" s="17"/>
      <c r="X121" s="17"/>
      <c r="Y121" s="17"/>
      <c r="Z121" s="17"/>
      <c r="AA121" s="17"/>
      <c r="AB121" s="17"/>
      <c r="AC121" s="29">
        <v>1</v>
      </c>
      <c r="AD121" s="17"/>
      <c r="AE121" s="17"/>
      <c r="AF121" s="8"/>
      <c r="AG121" s="17"/>
      <c r="AH121" s="17"/>
      <c r="AI121" s="17"/>
      <c r="AJ121" s="17"/>
      <c r="AK121" s="17"/>
      <c r="AL121" s="17"/>
      <c r="AM121" s="17"/>
      <c r="AN121" s="17"/>
      <c r="AO121" s="17"/>
      <c r="AP121" s="17"/>
      <c r="AQ121" s="17"/>
      <c r="AR121" s="17"/>
      <c r="AS121" s="17"/>
      <c r="AT121" s="17"/>
      <c r="AU121" s="17"/>
      <c r="AV121" s="17"/>
      <c r="AW121" s="17"/>
      <c r="AX121" s="17"/>
      <c r="AY121" s="17"/>
    </row>
    <row r="122" ht="17.45" customHeight="1">
      <c r="A122" t="s" s="13">
        <v>1613</v>
      </c>
      <c r="B122" t="s" s="13">
        <v>1614</v>
      </c>
      <c r="C122" s="29">
        <v>10</v>
      </c>
      <c r="D122" t="s" s="13">
        <v>1394</v>
      </c>
      <c r="E122" t="s" s="13">
        <v>444</v>
      </c>
      <c r="F122" t="s" s="13">
        <v>1619</v>
      </c>
      <c r="G122" s="36"/>
      <c r="H122" s="17"/>
      <c r="I122" s="17"/>
      <c r="J122" s="29">
        <v>1</v>
      </c>
      <c r="K122" s="17"/>
      <c r="L122" s="17"/>
      <c r="M122" s="17"/>
      <c r="N122" s="29">
        <v>1</v>
      </c>
      <c r="O122" s="17"/>
      <c r="P122" s="17"/>
      <c r="Q122" s="29">
        <v>5</v>
      </c>
      <c r="R122" s="17"/>
      <c r="S122" s="17"/>
      <c r="T122" s="17"/>
      <c r="U122" s="17"/>
      <c r="V122" s="17"/>
      <c r="W122" s="17"/>
      <c r="X122" s="17"/>
      <c r="Y122" s="17"/>
      <c r="Z122" s="17"/>
      <c r="AA122" s="17"/>
      <c r="AB122" s="17"/>
      <c r="AC122" s="29">
        <v>1</v>
      </c>
      <c r="AD122" s="17"/>
      <c r="AE122" s="17"/>
      <c r="AF122" s="8"/>
      <c r="AG122" s="17"/>
      <c r="AH122" s="17"/>
      <c r="AI122" s="17"/>
      <c r="AJ122" s="17"/>
      <c r="AK122" s="17"/>
      <c r="AL122" s="17"/>
      <c r="AM122" s="17"/>
      <c r="AN122" s="17"/>
      <c r="AO122" s="17"/>
      <c r="AP122" s="17"/>
      <c r="AQ122" s="17"/>
      <c r="AR122" s="17"/>
      <c r="AS122" s="17"/>
      <c r="AT122" s="17"/>
      <c r="AU122" s="17"/>
      <c r="AV122" s="17"/>
      <c r="AW122" s="17"/>
      <c r="AX122" s="17"/>
      <c r="AY122" s="17"/>
    </row>
    <row r="123" ht="17.45" customHeight="1">
      <c r="A123" t="s" s="13">
        <v>1613</v>
      </c>
      <c r="B123" t="s" s="13">
        <v>1614</v>
      </c>
      <c r="C123" s="29">
        <v>10</v>
      </c>
      <c r="D123" t="s" s="13">
        <v>1394</v>
      </c>
      <c r="E123" t="s" s="13">
        <v>444</v>
      </c>
      <c r="F123" t="s" s="13">
        <v>1620</v>
      </c>
      <c r="G123" s="36"/>
      <c r="H123" s="17"/>
      <c r="I123" s="29">
        <v>1</v>
      </c>
      <c r="J123" s="17"/>
      <c r="K123" s="17"/>
      <c r="L123" s="17"/>
      <c r="M123" s="29">
        <v>1</v>
      </c>
      <c r="N123" s="17"/>
      <c r="O123" s="17"/>
      <c r="P123" s="17"/>
      <c r="Q123" s="29">
        <v>1</v>
      </c>
      <c r="R123" s="17"/>
      <c r="S123" s="17"/>
      <c r="T123" s="17"/>
      <c r="U123" s="17"/>
      <c r="V123" s="17"/>
      <c r="W123" s="17"/>
      <c r="X123" s="17"/>
      <c r="Y123" s="17"/>
      <c r="Z123" s="17"/>
      <c r="AA123" s="17"/>
      <c r="AB123" s="17"/>
      <c r="AC123" s="29">
        <v>1</v>
      </c>
      <c r="AD123" s="17"/>
      <c r="AE123" s="17"/>
      <c r="AF123" s="8"/>
      <c r="AG123" s="17"/>
      <c r="AH123" s="17"/>
      <c r="AI123" s="17"/>
      <c r="AJ123" s="17"/>
      <c r="AK123" s="17"/>
      <c r="AL123" s="17"/>
      <c r="AM123" s="17"/>
      <c r="AN123" s="17"/>
      <c r="AO123" s="17"/>
      <c r="AP123" s="17"/>
      <c r="AQ123" s="17"/>
      <c r="AR123" s="17"/>
      <c r="AS123" s="17"/>
      <c r="AT123" s="17"/>
      <c r="AU123" s="17"/>
      <c r="AV123" s="17"/>
      <c r="AW123" s="17"/>
      <c r="AX123" s="17"/>
      <c r="AY123" s="17"/>
    </row>
    <row r="124" ht="17.45" customHeight="1">
      <c r="A124" t="s" s="13">
        <v>1613</v>
      </c>
      <c r="B124" t="s" s="13">
        <v>1614</v>
      </c>
      <c r="C124" s="29">
        <v>10</v>
      </c>
      <c r="D124" t="s" s="13">
        <v>1394</v>
      </c>
      <c r="E124" t="s" s="13">
        <v>444</v>
      </c>
      <c r="F124" t="s" s="13">
        <v>1621</v>
      </c>
      <c r="G124" s="36"/>
      <c r="H124" s="17"/>
      <c r="I124" s="29">
        <v>1</v>
      </c>
      <c r="J124" s="17"/>
      <c r="K124" s="17"/>
      <c r="L124" s="17"/>
      <c r="M124" s="29">
        <v>1</v>
      </c>
      <c r="N124" s="17"/>
      <c r="O124" s="17"/>
      <c r="P124" s="17"/>
      <c r="Q124" t="s" s="13">
        <v>1622</v>
      </c>
      <c r="R124" s="17"/>
      <c r="S124" s="17"/>
      <c r="T124" s="17"/>
      <c r="U124" s="17"/>
      <c r="V124" s="17"/>
      <c r="W124" s="17"/>
      <c r="X124" s="17"/>
      <c r="Y124" s="17"/>
      <c r="Z124" s="17"/>
      <c r="AA124" s="17"/>
      <c r="AB124" s="17"/>
      <c r="AC124" s="29">
        <v>1</v>
      </c>
      <c r="AD124" s="17"/>
      <c r="AE124" s="17"/>
      <c r="AF124" s="8"/>
      <c r="AG124" s="17"/>
      <c r="AH124" s="17"/>
      <c r="AI124" s="17"/>
      <c r="AJ124" s="17"/>
      <c r="AK124" s="17"/>
      <c r="AL124" s="17"/>
      <c r="AM124" s="17"/>
      <c r="AN124" s="17"/>
      <c r="AO124" s="17"/>
      <c r="AP124" s="17"/>
      <c r="AQ124" s="17"/>
      <c r="AR124" s="17"/>
      <c r="AS124" s="17"/>
      <c r="AT124" s="17"/>
      <c r="AU124" s="17"/>
      <c r="AV124" s="17"/>
      <c r="AW124" s="17"/>
      <c r="AX124" s="17"/>
      <c r="AY124" s="17"/>
    </row>
    <row r="125" ht="17.45" customHeight="1">
      <c r="A125" t="s" s="13">
        <v>1613</v>
      </c>
      <c r="B125" t="s" s="13">
        <v>1614</v>
      </c>
      <c r="C125" s="29">
        <v>10</v>
      </c>
      <c r="D125" t="s" s="13">
        <v>1394</v>
      </c>
      <c r="E125" t="s" s="13">
        <v>1623</v>
      </c>
      <c r="F125" t="s" s="13">
        <v>1624</v>
      </c>
      <c r="G125" s="35">
        <v>1</v>
      </c>
      <c r="H125" s="17"/>
      <c r="I125" s="17"/>
      <c r="J125" s="17"/>
      <c r="K125" s="17"/>
      <c r="L125" s="17"/>
      <c r="M125" s="17"/>
      <c r="N125" s="17"/>
      <c r="O125" s="17"/>
      <c r="P125" s="29">
        <v>1</v>
      </c>
      <c r="Q125" s="29">
        <v>24</v>
      </c>
      <c r="R125" s="17"/>
      <c r="S125" s="29">
        <v>1</v>
      </c>
      <c r="T125" s="17"/>
      <c r="U125" s="17"/>
      <c r="V125" s="17"/>
      <c r="W125" s="17"/>
      <c r="X125" t="s" s="13">
        <v>162</v>
      </c>
      <c r="Y125" s="17"/>
      <c r="Z125" s="29">
        <v>1</v>
      </c>
      <c r="AA125" s="17"/>
      <c r="AB125" s="17"/>
      <c r="AC125" s="17"/>
      <c r="AD125" t="s" s="13">
        <v>435</v>
      </c>
      <c r="AE125" s="17"/>
      <c r="AF125" s="8"/>
      <c r="AG125" s="17"/>
      <c r="AH125" s="17"/>
      <c r="AI125" s="17"/>
      <c r="AJ125" s="17"/>
      <c r="AK125" s="17"/>
      <c r="AL125" s="17"/>
      <c r="AM125" s="17"/>
      <c r="AN125" s="17"/>
      <c r="AO125" s="17"/>
      <c r="AP125" s="17"/>
      <c r="AQ125" s="17"/>
      <c r="AR125" s="17"/>
      <c r="AS125" s="17"/>
      <c r="AT125" s="17"/>
      <c r="AU125" s="17"/>
      <c r="AV125" s="17"/>
      <c r="AW125" s="17"/>
      <c r="AX125" s="17"/>
      <c r="AY125" s="17"/>
    </row>
    <row r="126" ht="17.45" customHeight="1">
      <c r="A126" t="s" s="13">
        <v>1613</v>
      </c>
      <c r="B126" t="s" s="13">
        <v>1614</v>
      </c>
      <c r="C126" s="29">
        <v>10</v>
      </c>
      <c r="D126" t="s" s="13">
        <v>1394</v>
      </c>
      <c r="E126" t="s" s="13">
        <v>1625</v>
      </c>
      <c r="F126" t="s" s="13">
        <v>1626</v>
      </c>
      <c r="G126" s="35">
        <v>1</v>
      </c>
      <c r="H126" s="17"/>
      <c r="I126" s="17"/>
      <c r="J126" s="17"/>
      <c r="K126" s="17"/>
      <c r="L126" s="17"/>
      <c r="M126" s="17"/>
      <c r="N126" s="17"/>
      <c r="O126" s="17"/>
      <c r="P126" s="29">
        <v>1</v>
      </c>
      <c r="Q126" s="29">
        <v>19</v>
      </c>
      <c r="R126" s="17"/>
      <c r="S126" s="29">
        <v>1</v>
      </c>
      <c r="T126" s="17"/>
      <c r="U126" s="17"/>
      <c r="V126" s="17"/>
      <c r="W126" s="17"/>
      <c r="X126" t="s" s="13">
        <v>576</v>
      </c>
      <c r="Y126" s="17"/>
      <c r="Z126" s="29">
        <v>1</v>
      </c>
      <c r="AA126" s="17"/>
      <c r="AB126" s="17"/>
      <c r="AC126" s="17"/>
      <c r="AD126" t="s" s="13">
        <v>591</v>
      </c>
      <c r="AE126" s="17"/>
      <c r="AF126" s="8"/>
      <c r="AG126" s="17"/>
      <c r="AH126" s="17"/>
      <c r="AI126" s="17"/>
      <c r="AJ126" s="17"/>
      <c r="AK126" s="17"/>
      <c r="AL126" s="17"/>
      <c r="AM126" s="17"/>
      <c r="AN126" s="17"/>
      <c r="AO126" s="17"/>
      <c r="AP126" s="17"/>
      <c r="AQ126" s="17"/>
      <c r="AR126" s="17"/>
      <c r="AS126" s="17"/>
      <c r="AT126" s="17"/>
      <c r="AU126" s="17"/>
      <c r="AV126" s="17"/>
      <c r="AW126" s="17"/>
      <c r="AX126" s="17"/>
      <c r="AY126" s="17"/>
    </row>
    <row r="127" ht="17.45" customHeight="1">
      <c r="A127" t="s" s="13">
        <v>1613</v>
      </c>
      <c r="B127" t="s" s="13">
        <v>1614</v>
      </c>
      <c r="C127" s="29">
        <v>10</v>
      </c>
      <c r="D127" t="s" s="13">
        <v>1394</v>
      </c>
      <c r="E127" t="s" s="13">
        <v>1627</v>
      </c>
      <c r="F127" t="s" s="13">
        <v>51</v>
      </c>
      <c r="G127" s="35">
        <v>1</v>
      </c>
      <c r="H127" s="17"/>
      <c r="I127" s="17"/>
      <c r="J127" s="17"/>
      <c r="K127" s="17"/>
      <c r="L127" s="17"/>
      <c r="M127" s="17"/>
      <c r="N127" s="17"/>
      <c r="O127" s="17"/>
      <c r="P127" s="29">
        <v>1</v>
      </c>
      <c r="Q127" s="29">
        <v>40</v>
      </c>
      <c r="R127" s="17"/>
      <c r="S127" s="29">
        <v>1</v>
      </c>
      <c r="T127" s="17"/>
      <c r="U127" s="17"/>
      <c r="V127" s="17"/>
      <c r="W127" s="17"/>
      <c r="X127" t="s" s="13">
        <v>159</v>
      </c>
      <c r="Y127" s="17"/>
      <c r="Z127" s="29">
        <v>1</v>
      </c>
      <c r="AA127" s="17"/>
      <c r="AB127" s="17"/>
      <c r="AC127" s="17"/>
      <c r="AD127" t="s" s="13">
        <v>1628</v>
      </c>
      <c r="AE127" s="17"/>
      <c r="AF127" s="8"/>
      <c r="AG127" s="17"/>
      <c r="AH127" s="17"/>
      <c r="AI127" s="17"/>
      <c r="AJ127" s="17"/>
      <c r="AK127" s="17"/>
      <c r="AL127" s="17"/>
      <c r="AM127" s="17"/>
      <c r="AN127" s="17"/>
      <c r="AO127" s="17"/>
      <c r="AP127" s="17"/>
      <c r="AQ127" s="17"/>
      <c r="AR127" s="17"/>
      <c r="AS127" s="17"/>
      <c r="AT127" s="17"/>
      <c r="AU127" s="17"/>
      <c r="AV127" s="17"/>
      <c r="AW127" s="17"/>
      <c r="AX127" s="17"/>
      <c r="AY127" s="17"/>
    </row>
    <row r="128" ht="17.45" customHeight="1">
      <c r="A128" t="s" s="13">
        <v>1613</v>
      </c>
      <c r="B128" t="s" s="13">
        <v>1614</v>
      </c>
      <c r="C128" s="29">
        <v>10</v>
      </c>
      <c r="D128" t="s" s="13">
        <v>1394</v>
      </c>
      <c r="E128" t="s" s="13">
        <v>1629</v>
      </c>
      <c r="F128" t="s" s="13">
        <v>1630</v>
      </c>
      <c r="G128" s="35">
        <v>1</v>
      </c>
      <c r="H128" s="17"/>
      <c r="I128" s="17"/>
      <c r="J128" s="17"/>
      <c r="K128" s="17"/>
      <c r="L128" s="17"/>
      <c r="M128" s="17"/>
      <c r="N128" s="17"/>
      <c r="O128" s="17"/>
      <c r="P128" s="29">
        <v>1</v>
      </c>
      <c r="Q128" s="29">
        <v>25</v>
      </c>
      <c r="R128" s="17"/>
      <c r="S128" s="29">
        <v>1</v>
      </c>
      <c r="T128" s="17"/>
      <c r="U128" s="17"/>
      <c r="V128" s="17"/>
      <c r="W128" s="17"/>
      <c r="X128" t="s" s="13">
        <v>576</v>
      </c>
      <c r="Y128" s="17"/>
      <c r="Z128" s="29">
        <v>1</v>
      </c>
      <c r="AA128" s="17"/>
      <c r="AB128" s="17"/>
      <c r="AC128" s="29">
        <v>1</v>
      </c>
      <c r="AD128" s="17"/>
      <c r="AE128" s="17"/>
      <c r="AF128" s="8"/>
      <c r="AG128" s="17"/>
      <c r="AH128" s="17"/>
      <c r="AI128" s="17"/>
      <c r="AJ128" s="17"/>
      <c r="AK128" s="17"/>
      <c r="AL128" s="17"/>
      <c r="AM128" s="17"/>
      <c r="AN128" s="17"/>
      <c r="AO128" s="17"/>
      <c r="AP128" s="17"/>
      <c r="AQ128" s="17"/>
      <c r="AR128" s="17"/>
      <c r="AS128" s="17"/>
      <c r="AT128" s="17"/>
      <c r="AU128" s="17"/>
      <c r="AV128" s="17"/>
      <c r="AW128" s="17"/>
      <c r="AX128" s="17"/>
      <c r="AY128" s="17"/>
    </row>
    <row r="129" ht="17.45" customHeight="1">
      <c r="A129" t="s" s="13">
        <v>1631</v>
      </c>
      <c r="B129" t="s" s="13">
        <v>1571</v>
      </c>
      <c r="C129" s="17"/>
      <c r="D129" t="s" s="13">
        <v>1394</v>
      </c>
      <c r="E129" t="s" s="13">
        <v>1632</v>
      </c>
      <c r="F129" t="s" s="13">
        <v>68</v>
      </c>
      <c r="G129" s="36"/>
      <c r="H129" s="78">
        <v>1</v>
      </c>
      <c r="I129" s="17"/>
      <c r="J129" s="17"/>
      <c r="K129" s="29">
        <v>1</v>
      </c>
      <c r="L129" s="17"/>
      <c r="M129" s="17"/>
      <c r="N129" s="17"/>
      <c r="O129" s="17"/>
      <c r="P129" s="17"/>
      <c r="Q129" s="29">
        <v>51</v>
      </c>
      <c r="R129" s="29">
        <v>1</v>
      </c>
      <c r="S129" s="17"/>
      <c r="T129" s="17"/>
      <c r="U129" s="17"/>
      <c r="V129" s="17"/>
      <c r="W129" s="17"/>
      <c r="X129" t="s" s="13">
        <v>365</v>
      </c>
      <c r="Y129" s="17"/>
      <c r="Z129" s="29">
        <v>1</v>
      </c>
      <c r="AA129" s="17"/>
      <c r="AB129" s="17"/>
      <c r="AC129" s="17"/>
      <c r="AD129" t="s" s="13">
        <v>435</v>
      </c>
      <c r="AE129" s="17"/>
      <c r="AF129" s="8"/>
      <c r="AG129" s="17"/>
      <c r="AH129" s="17"/>
      <c r="AI129" s="17"/>
      <c r="AJ129" s="17"/>
      <c r="AK129" s="17"/>
      <c r="AL129" s="17"/>
      <c r="AM129" s="17"/>
      <c r="AN129" s="17"/>
      <c r="AO129" s="17"/>
      <c r="AP129" s="17"/>
      <c r="AQ129" s="17"/>
      <c r="AR129" s="17"/>
      <c r="AS129" s="17"/>
      <c r="AT129" s="17"/>
      <c r="AU129" s="17"/>
      <c r="AV129" s="17"/>
      <c r="AW129" s="17"/>
      <c r="AX129" s="17"/>
      <c r="AY129" s="17"/>
    </row>
    <row r="130" ht="17.45" customHeight="1">
      <c r="A130" t="s" s="13">
        <v>1631</v>
      </c>
      <c r="B130" t="s" s="13">
        <v>1571</v>
      </c>
      <c r="C130" s="17"/>
      <c r="D130" t="s" s="13">
        <v>1394</v>
      </c>
      <c r="E130" t="s" s="13">
        <v>1632</v>
      </c>
      <c r="F130" t="s" s="13">
        <v>1633</v>
      </c>
      <c r="G130" s="35">
        <v>1</v>
      </c>
      <c r="H130" s="17"/>
      <c r="I130" s="17"/>
      <c r="J130" s="17"/>
      <c r="K130" s="17"/>
      <c r="L130" s="29">
        <v>1</v>
      </c>
      <c r="M130" s="17"/>
      <c r="N130" s="17"/>
      <c r="O130" s="17"/>
      <c r="P130" s="17"/>
      <c r="Q130" s="29">
        <v>52</v>
      </c>
      <c r="R130" s="29">
        <v>1</v>
      </c>
      <c r="S130" s="17"/>
      <c r="T130" s="17"/>
      <c r="U130" s="29">
        <v>30</v>
      </c>
      <c r="V130" s="29">
        <v>2</v>
      </c>
      <c r="W130" s="29">
        <v>2</v>
      </c>
      <c r="X130" s="17"/>
      <c r="Y130" s="17"/>
      <c r="Z130" s="17"/>
      <c r="AA130" s="17"/>
      <c r="AB130" s="17"/>
      <c r="AC130" s="17"/>
      <c r="AD130" t="s" s="13">
        <v>435</v>
      </c>
      <c r="AE130" s="17"/>
      <c r="AF130" s="8"/>
      <c r="AG130" s="17"/>
      <c r="AH130" s="17"/>
      <c r="AI130" s="17"/>
      <c r="AJ130" s="17"/>
      <c r="AK130" s="17"/>
      <c r="AL130" s="17"/>
      <c r="AM130" s="17"/>
      <c r="AN130" s="17"/>
      <c r="AO130" s="17"/>
      <c r="AP130" s="17"/>
      <c r="AQ130" s="17"/>
      <c r="AR130" s="17"/>
      <c r="AS130" s="17"/>
      <c r="AT130" s="17"/>
      <c r="AU130" s="17"/>
      <c r="AV130" s="17"/>
      <c r="AW130" s="17"/>
      <c r="AX130" s="17"/>
      <c r="AY130" s="17"/>
    </row>
    <row r="131" ht="17.45" customHeight="1">
      <c r="A131" t="s" s="13">
        <v>1631</v>
      </c>
      <c r="B131" t="s" s="13">
        <v>1571</v>
      </c>
      <c r="C131" s="17"/>
      <c r="D131" t="s" s="13">
        <v>1394</v>
      </c>
      <c r="E131" t="s" s="13">
        <v>1632</v>
      </c>
      <c r="F131" t="s" s="13">
        <v>1634</v>
      </c>
      <c r="G131" s="35">
        <v>1</v>
      </c>
      <c r="H131" s="17"/>
      <c r="I131" s="17"/>
      <c r="J131" s="17"/>
      <c r="K131" s="17"/>
      <c r="L131" s="17"/>
      <c r="M131" s="29">
        <v>1</v>
      </c>
      <c r="N131" s="17"/>
      <c r="O131" s="17"/>
      <c r="P131" s="17"/>
      <c r="Q131" s="29">
        <v>19</v>
      </c>
      <c r="R131" s="17"/>
      <c r="S131" t="s" s="13">
        <v>1635</v>
      </c>
      <c r="T131" s="17"/>
      <c r="U131" s="17"/>
      <c r="V131" s="17"/>
      <c r="W131" s="17"/>
      <c r="X131" t="s" s="13">
        <v>74</v>
      </c>
      <c r="Y131" t="s" s="13">
        <v>1636</v>
      </c>
      <c r="Z131" s="29">
        <v>1</v>
      </c>
      <c r="AA131" s="17"/>
      <c r="AB131" s="29">
        <v>1</v>
      </c>
      <c r="AC131" s="17"/>
      <c r="AD131" t="s" s="13">
        <v>435</v>
      </c>
      <c r="AE131" s="17"/>
      <c r="AF131" s="8"/>
      <c r="AG131" s="17"/>
      <c r="AH131" s="17"/>
      <c r="AI131" s="17"/>
      <c r="AJ131" s="17"/>
      <c r="AK131" s="17"/>
      <c r="AL131" s="17"/>
      <c r="AM131" s="17"/>
      <c r="AN131" s="17"/>
      <c r="AO131" s="17"/>
      <c r="AP131" s="17"/>
      <c r="AQ131" s="17"/>
      <c r="AR131" s="17"/>
      <c r="AS131" s="17"/>
      <c r="AT131" s="17"/>
      <c r="AU131" s="17"/>
      <c r="AV131" s="17"/>
      <c r="AW131" s="17"/>
      <c r="AX131" s="17"/>
      <c r="AY131" s="17"/>
    </row>
    <row r="132" ht="17.45" customHeight="1">
      <c r="A132" t="s" s="13">
        <v>1631</v>
      </c>
      <c r="B132" t="s" s="13">
        <v>1571</v>
      </c>
      <c r="C132" s="17"/>
      <c r="D132" t="s" s="13">
        <v>1394</v>
      </c>
      <c r="E132" t="s" s="13">
        <v>1632</v>
      </c>
      <c r="F132" t="s" s="13">
        <v>779</v>
      </c>
      <c r="G132" s="35">
        <v>1</v>
      </c>
      <c r="H132" s="17"/>
      <c r="I132" s="17"/>
      <c r="J132" s="17"/>
      <c r="K132" s="17"/>
      <c r="L132" s="17"/>
      <c r="M132" s="29">
        <v>1</v>
      </c>
      <c r="N132" s="17"/>
      <c r="O132" s="17"/>
      <c r="P132" s="17"/>
      <c r="Q132" s="29">
        <v>12</v>
      </c>
      <c r="R132" s="17"/>
      <c r="S132" s="17"/>
      <c r="T132" s="17"/>
      <c r="U132" s="17"/>
      <c r="V132" s="17"/>
      <c r="W132" s="17"/>
      <c r="X132" t="s" s="13">
        <v>246</v>
      </c>
      <c r="Y132" s="17"/>
      <c r="Z132" s="17"/>
      <c r="AA132" s="17"/>
      <c r="AB132" s="17"/>
      <c r="AC132" s="17"/>
      <c r="AD132" s="17"/>
      <c r="AE132" s="17"/>
      <c r="AF132" s="8"/>
      <c r="AG132" s="17"/>
      <c r="AH132" s="17"/>
      <c r="AI132" s="17"/>
      <c r="AJ132" s="17"/>
      <c r="AK132" s="17"/>
      <c r="AL132" s="17"/>
      <c r="AM132" s="17"/>
      <c r="AN132" s="17"/>
      <c r="AO132" s="17"/>
      <c r="AP132" s="17"/>
      <c r="AQ132" s="17"/>
      <c r="AR132" s="17"/>
      <c r="AS132" s="17"/>
      <c r="AT132" s="17"/>
      <c r="AU132" s="17"/>
      <c r="AV132" s="17"/>
      <c r="AW132" s="17"/>
      <c r="AX132" s="17"/>
      <c r="AY132" s="17"/>
    </row>
    <row r="133" ht="17" customHeight="1">
      <c r="A133" t="s" s="13">
        <v>285</v>
      </c>
      <c r="B133" s="17"/>
      <c r="C133" s="29">
        <v>24</v>
      </c>
      <c r="D133" t="s" s="13">
        <v>1394</v>
      </c>
      <c r="E133" s="29">
        <v>80</v>
      </c>
      <c r="F133" s="29">
        <v>130</v>
      </c>
      <c r="G133" s="29">
        <f>SUM(G3:G132)</f>
        <v>92</v>
      </c>
      <c r="H133" s="78">
        <f>SUM(H3:H132)</f>
        <v>27</v>
      </c>
      <c r="I133" s="29">
        <f>SUM(I3:I132)</f>
        <v>5</v>
      </c>
      <c r="J133" s="29">
        <f>SUM(J3:J132)</f>
        <v>6</v>
      </c>
      <c r="K133" s="29">
        <f>SUM(K3:K132)</f>
        <v>22</v>
      </c>
      <c r="L133" s="29">
        <f>SUM(L3:L132)</f>
        <v>14</v>
      </c>
      <c r="M133" s="29">
        <f>SUM(M3:M132)</f>
        <v>22</v>
      </c>
      <c r="N133" s="29">
        <f>SUM(N3:N132)</f>
        <v>13</v>
      </c>
      <c r="O133" s="29">
        <v>6</v>
      </c>
      <c r="P133" s="29">
        <f>SUM(P3:P132)</f>
        <v>52</v>
      </c>
      <c r="Q133" s="29">
        <f>SUM(Q3:Q132)</f>
        <v>4730</v>
      </c>
      <c r="R133" s="29">
        <f>SUM(R3:R132)</f>
        <v>28</v>
      </c>
      <c r="S133" s="29">
        <v>87</v>
      </c>
      <c r="T133" s="29">
        <f>SUM(T3:T132)</f>
        <v>4</v>
      </c>
      <c r="U133" s="29">
        <f>SUM(U3:U132)</f>
        <v>403</v>
      </c>
      <c r="V133" s="29">
        <f>SUM(V3:V132)</f>
        <v>53</v>
      </c>
      <c r="W133" s="29">
        <f>SUM(W3:W132)</f>
        <v>45</v>
      </c>
      <c r="X133" s="29">
        <f>SUM(X3:X132)</f>
        <v>0</v>
      </c>
      <c r="Y133" s="29">
        <f>SUM(Y3:Y132)</f>
        <v>0</v>
      </c>
      <c r="Z133" s="29">
        <f>SUM(Z3:Z132)</f>
        <v>74</v>
      </c>
      <c r="AA133" s="29">
        <f>SUM(AA3:AA132)</f>
        <v>18</v>
      </c>
      <c r="AB133" s="29">
        <f>SUM(AB3:AB132)</f>
        <v>14</v>
      </c>
      <c r="AC133" s="29">
        <f>SUM(AC3:AC132)</f>
        <v>66</v>
      </c>
      <c r="AD133" s="29">
        <f>K134-AC133</f>
        <v>63</v>
      </c>
      <c r="AE133" s="17"/>
      <c r="AF133" s="8"/>
      <c r="AG133" s="17"/>
      <c r="AH133" s="17"/>
      <c r="AI133" s="17"/>
      <c r="AJ133" s="17"/>
      <c r="AK133" s="17"/>
      <c r="AL133" s="17"/>
      <c r="AM133" s="17"/>
      <c r="AN133" s="17"/>
      <c r="AO133" s="17"/>
      <c r="AP133" s="17"/>
      <c r="AQ133" s="17"/>
      <c r="AR133" s="17"/>
      <c r="AS133" s="17"/>
      <c r="AT133" s="17"/>
      <c r="AU133" s="17"/>
      <c r="AV133" s="17"/>
      <c r="AW133" s="17"/>
      <c r="AX133" s="17"/>
      <c r="AY133" s="17"/>
    </row>
    <row r="134" ht="17.45" customHeight="1">
      <c r="A134" s="17"/>
      <c r="B134" s="17"/>
      <c r="C134" s="17"/>
      <c r="D134" s="17"/>
      <c r="E134" s="17"/>
      <c r="F134" s="17"/>
      <c r="G134" s="29">
        <f>G133+H133+I133+J133</f>
        <v>130</v>
      </c>
      <c r="H134" s="29"/>
      <c r="I134" s="17"/>
      <c r="J134" s="17"/>
      <c r="K134" s="29">
        <f>K133+L133+M133+N133+O133+P133</f>
        <v>129</v>
      </c>
      <c r="L134" s="17"/>
      <c r="M134" s="36"/>
      <c r="N134" s="36"/>
      <c r="O134" s="36"/>
      <c r="P134" s="36"/>
      <c r="Q134" s="300">
        <f>Q133/K134</f>
        <v>36.6666666666667</v>
      </c>
      <c r="R134" s="35">
        <f>K134-R133-S133-T133-I133-J133</f>
        <v>-1</v>
      </c>
      <c r="S134" s="36"/>
      <c r="T134" s="36"/>
      <c r="U134" s="17"/>
      <c r="V134" s="17"/>
      <c r="W134" s="17"/>
      <c r="X134" s="17"/>
      <c r="Y134" s="17"/>
      <c r="Z134" s="17"/>
      <c r="AA134" s="17"/>
      <c r="AB134" s="17"/>
      <c r="AC134" s="17"/>
      <c r="AD134" s="17"/>
      <c r="AE134" s="17"/>
      <c r="AF134" s="8"/>
      <c r="AG134" s="17"/>
      <c r="AH134" s="17"/>
      <c r="AI134" s="17"/>
      <c r="AJ134" s="17"/>
      <c r="AK134" s="17"/>
      <c r="AL134" s="17"/>
      <c r="AM134" s="17"/>
      <c r="AN134" s="17"/>
      <c r="AO134" s="17"/>
      <c r="AP134" s="17"/>
      <c r="AQ134" s="17"/>
      <c r="AR134" s="17"/>
      <c r="AS134" s="17"/>
      <c r="AT134" s="17"/>
      <c r="AU134" s="17"/>
      <c r="AV134" s="17"/>
      <c r="AW134" s="17"/>
      <c r="AX134" s="17"/>
      <c r="AY134"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AY10"/>
  <sheetViews>
    <sheetView workbookViewId="0" showGridLines="0" defaultGridColor="1"/>
  </sheetViews>
  <sheetFormatPr defaultColWidth="10.8333" defaultRowHeight="16" customHeight="1" outlineLevelRow="0" outlineLevelCol="0"/>
  <cols>
    <col min="1" max="51" width="10.8516" style="301" customWidth="1"/>
    <col min="52" max="16384" width="10.8516" style="301" customWidth="1"/>
  </cols>
  <sheetData>
    <row r="1" ht="47" customHeight="1">
      <c r="A1" t="s" s="123">
        <v>6</v>
      </c>
      <c r="B1" t="s" s="123">
        <v>7</v>
      </c>
      <c r="C1" t="s" s="7">
        <v>8</v>
      </c>
      <c r="D1" t="s" s="14">
        <v>9</v>
      </c>
      <c r="E1" t="s" s="7">
        <v>10</v>
      </c>
      <c r="F1" t="s" s="14">
        <v>11</v>
      </c>
      <c r="G1" t="s" s="14">
        <v>12</v>
      </c>
      <c r="H1" s="283"/>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18">
        <v>119</v>
      </c>
      <c r="B2" t="s" s="19">
        <v>120</v>
      </c>
      <c r="C2" s="124"/>
      <c r="D2" s="15"/>
      <c r="E2" s="8"/>
      <c r="F2" s="15"/>
      <c r="G2" t="s" s="14">
        <v>24</v>
      </c>
      <c r="H2" t="s" s="14">
        <v>25</v>
      </c>
      <c r="I2" t="s" s="14">
        <v>26</v>
      </c>
      <c r="J2" t="s" s="21">
        <v>27</v>
      </c>
      <c r="K2" t="s" s="125">
        <v>28</v>
      </c>
      <c r="L2" t="s" s="23">
        <v>1392</v>
      </c>
      <c r="M2" t="s" s="14">
        <v>30</v>
      </c>
      <c r="N2" t="s" s="14">
        <v>31</v>
      </c>
      <c r="O2" t="s" s="14">
        <v>32</v>
      </c>
      <c r="P2" t="s" s="21">
        <v>33</v>
      </c>
      <c r="Q2" t="s" s="24">
        <v>121</v>
      </c>
      <c r="R2" t="s" s="125">
        <v>122</v>
      </c>
      <c r="S2" t="s" s="125">
        <v>123</v>
      </c>
      <c r="T2" t="s" s="126">
        <v>124</v>
      </c>
      <c r="U2" s="15"/>
      <c r="V2" s="15"/>
      <c r="W2" s="15"/>
      <c r="X2" s="15"/>
      <c r="Y2" s="15"/>
      <c r="Z2" s="15"/>
      <c r="AA2" t="s" s="14">
        <v>35</v>
      </c>
      <c r="AB2" t="s" s="14">
        <v>125</v>
      </c>
      <c r="AC2" t="s" s="14">
        <v>37</v>
      </c>
      <c r="AD2" t="s" s="7">
        <v>32</v>
      </c>
      <c r="AE2" s="8"/>
      <c r="AF2" s="8"/>
      <c r="AG2" s="8"/>
      <c r="AH2" s="8"/>
      <c r="AI2" s="8"/>
      <c r="AJ2" s="8"/>
      <c r="AK2" s="8"/>
      <c r="AL2" s="8"/>
      <c r="AM2" s="8"/>
      <c r="AN2" s="8"/>
      <c r="AO2" s="8"/>
      <c r="AP2" s="8"/>
      <c r="AQ2" s="8"/>
      <c r="AR2" s="8"/>
      <c r="AS2" s="8"/>
      <c r="AT2" s="8"/>
      <c r="AU2" s="8"/>
      <c r="AV2" s="8"/>
      <c r="AW2" s="8"/>
      <c r="AX2" s="8"/>
      <c r="AY2" s="8"/>
    </row>
    <row r="3" ht="17" customHeight="1">
      <c r="A3" t="s" s="127">
        <v>1638</v>
      </c>
      <c r="B3" t="s" s="127">
        <v>1639</v>
      </c>
      <c r="C3" s="8"/>
      <c r="D3" t="s" s="7">
        <v>1640</v>
      </c>
      <c r="E3" t="s" s="7">
        <v>1641</v>
      </c>
      <c r="F3" t="s" s="7">
        <v>1642</v>
      </c>
      <c r="G3" s="9">
        <v>1</v>
      </c>
      <c r="H3" s="144"/>
      <c r="I3" s="8"/>
      <c r="J3" s="8"/>
      <c r="K3" s="142"/>
      <c r="L3" s="8"/>
      <c r="M3" s="9">
        <v>1</v>
      </c>
      <c r="N3" s="8"/>
      <c r="O3" s="8"/>
      <c r="P3" s="8"/>
      <c r="Q3" s="143">
        <v>25</v>
      </c>
      <c r="R3" s="142"/>
      <c r="S3" s="143">
        <v>1</v>
      </c>
      <c r="T3" s="8"/>
      <c r="U3" s="8"/>
      <c r="V3" s="8"/>
      <c r="W3" s="8"/>
      <c r="X3" s="8"/>
      <c r="Y3" s="8"/>
      <c r="Z3" s="8"/>
      <c r="AA3" s="8"/>
      <c r="AB3" s="8"/>
      <c r="AC3" s="8"/>
      <c r="AD3" t="s" s="7">
        <v>240</v>
      </c>
      <c r="AE3" s="8"/>
      <c r="AF3" s="8"/>
      <c r="AG3" s="8"/>
      <c r="AH3" s="8"/>
      <c r="AI3" s="8"/>
      <c r="AJ3" s="8"/>
      <c r="AK3" s="8"/>
      <c r="AL3" s="8"/>
      <c r="AM3" s="8"/>
      <c r="AN3" s="8"/>
      <c r="AO3" s="8"/>
      <c r="AP3" s="8"/>
      <c r="AQ3" s="8"/>
      <c r="AR3" s="8"/>
      <c r="AS3" s="8"/>
      <c r="AT3" s="8"/>
      <c r="AU3" s="8"/>
      <c r="AV3" s="8"/>
      <c r="AW3" s="8"/>
      <c r="AX3" s="8"/>
      <c r="AY3" s="8"/>
    </row>
    <row r="4" ht="17" customHeight="1">
      <c r="A4" t="s" s="7">
        <v>1638</v>
      </c>
      <c r="B4" t="s" s="7">
        <v>1639</v>
      </c>
      <c r="C4" s="8"/>
      <c r="D4" t="s" s="7">
        <v>1640</v>
      </c>
      <c r="E4" t="s" s="7">
        <v>1643</v>
      </c>
      <c r="F4" t="s" s="7">
        <v>811</v>
      </c>
      <c r="G4" s="8"/>
      <c r="H4" s="144">
        <v>1</v>
      </c>
      <c r="I4" s="8"/>
      <c r="J4" s="8"/>
      <c r="K4" s="8"/>
      <c r="L4" s="8"/>
      <c r="M4" s="8"/>
      <c r="N4" s="8"/>
      <c r="O4" s="8"/>
      <c r="P4" s="9">
        <v>1</v>
      </c>
      <c r="Q4" s="9">
        <v>70</v>
      </c>
      <c r="R4" s="9">
        <v>1</v>
      </c>
      <c r="S4" s="8"/>
      <c r="T4" s="8"/>
      <c r="U4" s="8"/>
      <c r="V4" s="8"/>
      <c r="W4" s="8"/>
      <c r="X4" t="s" s="7">
        <v>1351</v>
      </c>
      <c r="Y4" s="8"/>
      <c r="Z4" s="9">
        <v>1</v>
      </c>
      <c r="AA4" s="8"/>
      <c r="AB4" s="8"/>
      <c r="AC4" s="9">
        <v>1</v>
      </c>
      <c r="AD4" s="8"/>
      <c r="AE4" s="8"/>
      <c r="AF4" s="8"/>
      <c r="AG4" s="8"/>
      <c r="AH4" s="8"/>
      <c r="AI4" s="8"/>
      <c r="AJ4" s="8"/>
      <c r="AK4" s="8"/>
      <c r="AL4" s="8"/>
      <c r="AM4" s="8"/>
      <c r="AN4" s="8"/>
      <c r="AO4" s="8"/>
      <c r="AP4" s="8"/>
      <c r="AQ4" s="8"/>
      <c r="AR4" s="8"/>
      <c r="AS4" s="8"/>
      <c r="AT4" s="8"/>
      <c r="AU4" s="8"/>
      <c r="AV4" s="8"/>
      <c r="AW4" s="8"/>
      <c r="AX4" s="8"/>
      <c r="AY4" s="8"/>
    </row>
    <row r="5" ht="17" customHeight="1">
      <c r="A5" t="s" s="7">
        <v>1638</v>
      </c>
      <c r="B5" t="s" s="7">
        <v>1639</v>
      </c>
      <c r="C5" s="8"/>
      <c r="D5" t="s" s="7">
        <v>1640</v>
      </c>
      <c r="E5" t="s" s="7">
        <v>1643</v>
      </c>
      <c r="F5" t="s" s="7">
        <v>1231</v>
      </c>
      <c r="G5" s="9">
        <v>1</v>
      </c>
      <c r="H5" s="144"/>
      <c r="I5" s="8"/>
      <c r="J5" s="8"/>
      <c r="K5" s="8"/>
      <c r="L5" s="8"/>
      <c r="M5" s="8"/>
      <c r="N5" s="8"/>
      <c r="O5" s="8"/>
      <c r="P5" s="9">
        <v>1</v>
      </c>
      <c r="Q5" s="9">
        <v>63</v>
      </c>
      <c r="R5" s="9">
        <v>1</v>
      </c>
      <c r="S5" s="8"/>
      <c r="T5" s="8"/>
      <c r="U5" s="9">
        <v>15</v>
      </c>
      <c r="V5" s="8"/>
      <c r="W5" s="8"/>
      <c r="X5" t="s" s="7">
        <v>159</v>
      </c>
      <c r="Y5" s="8"/>
      <c r="Z5" s="9">
        <v>1</v>
      </c>
      <c r="AA5" s="8"/>
      <c r="AB5" s="8"/>
      <c r="AC5" s="8"/>
      <c r="AD5" t="s" s="7">
        <v>435</v>
      </c>
      <c r="AE5" s="8"/>
      <c r="AF5" s="8"/>
      <c r="AG5" s="8"/>
      <c r="AH5" s="8"/>
      <c r="AI5" s="8"/>
      <c r="AJ5" s="8"/>
      <c r="AK5" s="8"/>
      <c r="AL5" s="8"/>
      <c r="AM5" s="8"/>
      <c r="AN5" s="8"/>
      <c r="AO5" s="8"/>
      <c r="AP5" s="8"/>
      <c r="AQ5" s="8"/>
      <c r="AR5" s="8"/>
      <c r="AS5" s="8"/>
      <c r="AT5" s="8"/>
      <c r="AU5" s="8"/>
      <c r="AV5" s="8"/>
      <c r="AW5" s="8"/>
      <c r="AX5" s="8"/>
      <c r="AY5" s="8"/>
    </row>
    <row r="6" ht="17" customHeight="1">
      <c r="A6" t="s" s="7">
        <v>285</v>
      </c>
      <c r="B6" s="9">
        <v>1</v>
      </c>
      <c r="C6" s="8"/>
      <c r="D6" t="s" s="7">
        <v>1640</v>
      </c>
      <c r="E6" s="9">
        <v>2</v>
      </c>
      <c r="F6" s="9">
        <v>3</v>
      </c>
      <c r="G6" s="9">
        <f>SUM(G3:G5)</f>
        <v>2</v>
      </c>
      <c r="H6" s="144">
        <f>SUM(H3:H5)</f>
        <v>1</v>
      </c>
      <c r="I6" s="9">
        <f>SUM(I3:I5)</f>
        <v>0</v>
      </c>
      <c r="J6" s="9">
        <f>SUM(J3:J5)</f>
        <v>0</v>
      </c>
      <c r="K6" s="9">
        <f>SUM(K3:K5)</f>
        <v>0</v>
      </c>
      <c r="L6" s="9">
        <f>SUM(L3:L5)</f>
        <v>0</v>
      </c>
      <c r="M6" s="9">
        <f>SUM(M3:M5)</f>
        <v>1</v>
      </c>
      <c r="N6" s="9">
        <f>SUM(N3:N5)</f>
        <v>0</v>
      </c>
      <c r="O6" s="9">
        <f>SUM(O3:O5)</f>
        <v>0</v>
      </c>
      <c r="P6" s="9">
        <f>SUM(P3:P5)</f>
        <v>2</v>
      </c>
      <c r="Q6" s="9">
        <f>SUM(Q3:Q5)</f>
        <v>158</v>
      </c>
      <c r="R6" s="9">
        <f>SUM(R3:R5)</f>
        <v>2</v>
      </c>
      <c r="S6" s="9">
        <f>SUM(S3:S5)</f>
        <v>1</v>
      </c>
      <c r="T6" s="9">
        <f>SUM(T3:T5)</f>
        <v>0</v>
      </c>
      <c r="U6" s="9">
        <f>SUM(U3:U5)</f>
        <v>15</v>
      </c>
      <c r="V6" s="9">
        <f>SUM(V3:V5)</f>
        <v>0</v>
      </c>
      <c r="W6" s="9">
        <f>SUM(W3:W5)</f>
        <v>0</v>
      </c>
      <c r="X6" s="9">
        <f>SUM(X3:X5)</f>
        <v>0</v>
      </c>
      <c r="Y6" s="9">
        <f>SUM(Y3:Y5)</f>
        <v>0</v>
      </c>
      <c r="Z6" s="9">
        <f>SUM(Z3:Z5)</f>
        <v>2</v>
      </c>
      <c r="AA6" s="9">
        <f>SUM(AA3:AA5)</f>
        <v>0</v>
      </c>
      <c r="AB6" s="9">
        <f>SUM(AB3:AB5)</f>
        <v>0</v>
      </c>
      <c r="AC6" s="9">
        <f>SUM(AC3:AC5)</f>
        <v>1</v>
      </c>
      <c r="AD6" s="9">
        <v>2</v>
      </c>
      <c r="AE6" s="8"/>
      <c r="AF6" s="8"/>
      <c r="AG6" s="8"/>
      <c r="AH6" s="8"/>
      <c r="AI6" s="8"/>
      <c r="AJ6" s="8"/>
      <c r="AK6" s="8"/>
      <c r="AL6" s="8"/>
      <c r="AM6" s="8"/>
      <c r="AN6" s="8"/>
      <c r="AO6" s="8"/>
      <c r="AP6" s="8"/>
      <c r="AQ6" s="8"/>
      <c r="AR6" s="8"/>
      <c r="AS6" s="8"/>
      <c r="AT6" s="8"/>
      <c r="AU6" s="8"/>
      <c r="AV6" s="8"/>
      <c r="AW6" s="8"/>
      <c r="AX6" s="8"/>
      <c r="AY6" s="8"/>
    </row>
    <row r="7" ht="17" customHeight="1">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row>
    <row r="8" ht="17" customHeight="1">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row>
    <row r="9" ht="17" customHeight="1">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row>
    <row r="10" ht="17" customHeight="1">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AY31"/>
  <sheetViews>
    <sheetView workbookViewId="0" showGridLines="0" defaultGridColor="1"/>
  </sheetViews>
  <sheetFormatPr defaultColWidth="10.8333" defaultRowHeight="16" customHeight="1" outlineLevelRow="0" outlineLevelCol="0"/>
  <cols>
    <col min="1" max="25" width="10.8516" style="302" customWidth="1"/>
    <col min="26" max="26" width="13.5" style="302" customWidth="1"/>
    <col min="27" max="51" width="10.8516" style="302" customWidth="1"/>
    <col min="52" max="16384" width="10.8516" style="302" customWidth="1"/>
  </cols>
  <sheetData>
    <row r="1" ht="47" customHeight="1">
      <c r="A1" t="s" s="123">
        <v>6</v>
      </c>
      <c r="B1" t="s" s="123">
        <v>7</v>
      </c>
      <c r="C1" t="s" s="7">
        <v>8</v>
      </c>
      <c r="D1" t="s" s="14">
        <v>9</v>
      </c>
      <c r="E1" t="s" s="7">
        <v>10</v>
      </c>
      <c r="F1" t="s" s="14">
        <v>11</v>
      </c>
      <c r="G1" t="s" s="14">
        <v>12</v>
      </c>
      <c r="H1" s="283"/>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7">
        <v>109</v>
      </c>
      <c r="AF1" s="15"/>
      <c r="AG1" s="36"/>
      <c r="AH1" s="36"/>
      <c r="AI1" s="15"/>
      <c r="AJ1" s="15"/>
      <c r="AK1" s="8"/>
      <c r="AL1" s="15"/>
      <c r="AM1" s="15"/>
      <c r="AN1" s="15"/>
      <c r="AO1" s="8"/>
      <c r="AP1" s="36"/>
      <c r="AQ1" s="36"/>
      <c r="AR1" s="36"/>
      <c r="AS1" s="36"/>
      <c r="AT1" s="36"/>
      <c r="AU1" s="36"/>
      <c r="AV1" s="36"/>
      <c r="AW1" s="15"/>
      <c r="AX1" s="8"/>
      <c r="AY1" s="8"/>
    </row>
    <row r="2" ht="47" customHeight="1">
      <c r="A2" t="s" s="240">
        <v>119</v>
      </c>
      <c r="B2" t="s" s="241">
        <v>120</v>
      </c>
      <c r="C2" s="242"/>
      <c r="D2" s="90"/>
      <c r="E2" s="243"/>
      <c r="F2" s="90"/>
      <c r="G2" t="s" s="91">
        <v>24</v>
      </c>
      <c r="H2" t="s" s="91">
        <v>25</v>
      </c>
      <c r="I2" t="s" s="91">
        <v>26</v>
      </c>
      <c r="J2" t="s" s="244">
        <v>27</v>
      </c>
      <c r="K2" t="s" s="245">
        <v>28</v>
      </c>
      <c r="L2" t="s" s="246">
        <v>1392</v>
      </c>
      <c r="M2" t="s" s="91">
        <v>30</v>
      </c>
      <c r="N2" t="s" s="91">
        <v>31</v>
      </c>
      <c r="O2" t="s" s="91">
        <v>32</v>
      </c>
      <c r="P2" t="s" s="244">
        <v>33</v>
      </c>
      <c r="Q2" t="s" s="247">
        <v>121</v>
      </c>
      <c r="R2" t="s" s="245">
        <v>122</v>
      </c>
      <c r="S2" t="s" s="245">
        <v>123</v>
      </c>
      <c r="T2" t="s" s="248">
        <v>124</v>
      </c>
      <c r="U2" s="90"/>
      <c r="V2" s="90"/>
      <c r="W2" s="90"/>
      <c r="X2" s="90"/>
      <c r="Y2" s="90"/>
      <c r="Z2" s="90"/>
      <c r="AA2" t="s" s="91">
        <v>35</v>
      </c>
      <c r="AB2" t="s" s="91">
        <v>125</v>
      </c>
      <c r="AC2" t="s" s="91">
        <v>37</v>
      </c>
      <c r="AD2" t="s" s="249">
        <v>32</v>
      </c>
      <c r="AE2" s="8"/>
      <c r="AF2" s="8"/>
      <c r="AG2" s="8"/>
      <c r="AH2" s="8"/>
      <c r="AI2" s="8"/>
      <c r="AJ2" s="8"/>
      <c r="AK2" s="8"/>
      <c r="AL2" s="8"/>
      <c r="AM2" s="8"/>
      <c r="AN2" s="8"/>
      <c r="AO2" s="8"/>
      <c r="AP2" s="8"/>
      <c r="AQ2" s="8"/>
      <c r="AR2" s="8"/>
      <c r="AS2" s="8"/>
      <c r="AT2" s="8"/>
      <c r="AU2" s="8"/>
      <c r="AV2" s="8"/>
      <c r="AW2" s="8"/>
      <c r="AX2" s="8"/>
      <c r="AY2" s="8"/>
    </row>
    <row r="3" ht="17" customHeight="1">
      <c r="A3" t="s" s="250">
        <v>1645</v>
      </c>
      <c r="B3" t="s" s="250">
        <v>1646</v>
      </c>
      <c r="C3" s="251"/>
      <c r="D3" t="s" s="250">
        <v>1647</v>
      </c>
      <c r="E3" t="s" s="250">
        <v>726</v>
      </c>
      <c r="F3" t="s" s="250">
        <v>1576</v>
      </c>
      <c r="G3" s="251"/>
      <c r="H3" s="268">
        <v>1</v>
      </c>
      <c r="I3" s="251"/>
      <c r="J3" s="251"/>
      <c r="K3" s="253">
        <v>1</v>
      </c>
      <c r="L3" s="251"/>
      <c r="M3" s="251"/>
      <c r="N3" s="251"/>
      <c r="O3" s="251"/>
      <c r="P3" s="251"/>
      <c r="Q3" s="253">
        <v>66</v>
      </c>
      <c r="R3" s="253">
        <v>1</v>
      </c>
      <c r="S3" s="251"/>
      <c r="T3" s="251"/>
      <c r="U3" s="251"/>
      <c r="V3" s="251"/>
      <c r="W3" s="251"/>
      <c r="X3" t="s" s="250">
        <v>1648</v>
      </c>
      <c r="Y3" s="251"/>
      <c r="Z3" s="253">
        <v>1</v>
      </c>
      <c r="AA3" s="253">
        <v>1</v>
      </c>
      <c r="AB3" s="251"/>
      <c r="AC3" s="253">
        <v>1</v>
      </c>
      <c r="AD3" s="251"/>
      <c r="AE3" s="252"/>
      <c r="AF3" s="8"/>
      <c r="AG3" s="8"/>
      <c r="AH3" s="8"/>
      <c r="AI3" s="8"/>
      <c r="AJ3" s="8"/>
      <c r="AK3" s="8"/>
      <c r="AL3" s="8"/>
      <c r="AM3" s="8"/>
      <c r="AN3" s="8"/>
      <c r="AO3" s="8"/>
      <c r="AP3" s="8"/>
      <c r="AQ3" s="8"/>
      <c r="AR3" s="8"/>
      <c r="AS3" s="8"/>
      <c r="AT3" s="8"/>
      <c r="AU3" s="8"/>
      <c r="AV3" s="8"/>
      <c r="AW3" s="8"/>
      <c r="AX3" s="8"/>
      <c r="AY3" s="8"/>
    </row>
    <row r="4" ht="17" customHeight="1">
      <c r="A4" s="251"/>
      <c r="B4" s="251"/>
      <c r="C4" s="251"/>
      <c r="D4" s="251"/>
      <c r="E4" t="s" s="250">
        <v>726</v>
      </c>
      <c r="F4" t="s" s="250">
        <v>1649</v>
      </c>
      <c r="G4" s="253">
        <v>1</v>
      </c>
      <c r="H4" s="268"/>
      <c r="I4" s="251"/>
      <c r="J4" s="251"/>
      <c r="K4" s="251"/>
      <c r="L4" s="253">
        <v>1</v>
      </c>
      <c r="M4" s="251"/>
      <c r="N4" s="251"/>
      <c r="O4" s="251"/>
      <c r="P4" s="251"/>
      <c r="Q4" s="253">
        <v>47</v>
      </c>
      <c r="R4" s="253">
        <v>1</v>
      </c>
      <c r="S4" s="251"/>
      <c r="T4" s="251"/>
      <c r="U4" s="253">
        <v>22</v>
      </c>
      <c r="V4" s="253">
        <v>2</v>
      </c>
      <c r="W4" s="253">
        <v>2</v>
      </c>
      <c r="X4" s="251"/>
      <c r="Y4" s="251"/>
      <c r="Z4" s="251"/>
      <c r="AA4" s="251"/>
      <c r="AB4" s="251"/>
      <c r="AC4" s="251"/>
      <c r="AD4" t="s" s="250">
        <v>449</v>
      </c>
      <c r="AE4" s="252"/>
      <c r="AF4" s="8"/>
      <c r="AG4" s="8"/>
      <c r="AH4" s="8"/>
      <c r="AI4" s="8"/>
      <c r="AJ4" s="8"/>
      <c r="AK4" s="8"/>
      <c r="AL4" s="8"/>
      <c r="AM4" s="8"/>
      <c r="AN4" s="8"/>
      <c r="AO4" s="8"/>
      <c r="AP4" s="8"/>
      <c r="AQ4" s="8"/>
      <c r="AR4" s="8"/>
      <c r="AS4" s="8"/>
      <c r="AT4" s="8"/>
      <c r="AU4" s="8"/>
      <c r="AV4" s="8"/>
      <c r="AW4" s="8"/>
      <c r="AX4" s="8"/>
      <c r="AY4" s="8"/>
    </row>
    <row r="5" ht="17" customHeight="1">
      <c r="A5" s="251"/>
      <c r="B5" s="251"/>
      <c r="C5" s="251"/>
      <c r="D5" s="251"/>
      <c r="E5" t="s" s="250">
        <v>726</v>
      </c>
      <c r="F5" t="s" s="250">
        <v>1342</v>
      </c>
      <c r="G5" s="253">
        <v>1</v>
      </c>
      <c r="H5" s="268"/>
      <c r="I5" s="251"/>
      <c r="J5" s="251"/>
      <c r="K5" s="251"/>
      <c r="L5" s="251"/>
      <c r="M5" s="253">
        <v>1</v>
      </c>
      <c r="N5" s="251"/>
      <c r="O5" s="251"/>
      <c r="P5" s="251"/>
      <c r="Q5" s="253">
        <v>30</v>
      </c>
      <c r="R5" s="251"/>
      <c r="S5" s="253">
        <v>1</v>
      </c>
      <c r="T5" s="251"/>
      <c r="U5" s="251"/>
      <c r="V5" s="251"/>
      <c r="W5" s="251"/>
      <c r="X5" t="s" s="250">
        <v>1436</v>
      </c>
      <c r="Y5" s="251"/>
      <c r="Z5" s="251"/>
      <c r="AA5" s="251"/>
      <c r="AB5" s="251"/>
      <c r="AC5" s="251"/>
      <c r="AD5" t="s" s="250">
        <v>1465</v>
      </c>
      <c r="AE5" s="252"/>
      <c r="AF5" s="8"/>
      <c r="AG5" s="8"/>
      <c r="AH5" s="8"/>
      <c r="AI5" s="8"/>
      <c r="AJ5" s="8"/>
      <c r="AK5" s="8"/>
      <c r="AL5" s="8"/>
      <c r="AM5" s="8"/>
      <c r="AN5" s="8"/>
      <c r="AO5" s="8"/>
      <c r="AP5" s="8"/>
      <c r="AQ5" s="8"/>
      <c r="AR5" s="8"/>
      <c r="AS5" s="8"/>
      <c r="AT5" s="8"/>
      <c r="AU5" s="8"/>
      <c r="AV5" s="8"/>
      <c r="AW5" s="8"/>
      <c r="AX5" s="8"/>
      <c r="AY5" s="8"/>
    </row>
    <row r="6" ht="17" customHeight="1">
      <c r="A6" s="251"/>
      <c r="B6" s="251"/>
      <c r="C6" s="251"/>
      <c r="D6" s="251"/>
      <c r="E6" t="s" s="250">
        <v>726</v>
      </c>
      <c r="F6" t="s" s="250">
        <v>1650</v>
      </c>
      <c r="G6" s="253">
        <v>1</v>
      </c>
      <c r="H6" s="251"/>
      <c r="I6" s="251"/>
      <c r="J6" s="251"/>
      <c r="K6" s="251"/>
      <c r="L6" s="251"/>
      <c r="M6" s="253">
        <v>1</v>
      </c>
      <c r="N6" s="251"/>
      <c r="O6" s="251"/>
      <c r="P6" s="251"/>
      <c r="Q6" s="253">
        <v>21</v>
      </c>
      <c r="R6" s="251"/>
      <c r="S6" s="253">
        <v>1</v>
      </c>
      <c r="T6" s="251"/>
      <c r="U6" s="251"/>
      <c r="V6" s="251"/>
      <c r="W6" s="251"/>
      <c r="X6" t="s" s="250">
        <v>1436</v>
      </c>
      <c r="Y6" s="251"/>
      <c r="Z6" s="251"/>
      <c r="AA6" s="251"/>
      <c r="AB6" s="251"/>
      <c r="AC6" s="251"/>
      <c r="AD6" t="s" s="250">
        <v>1465</v>
      </c>
      <c r="AE6" s="252"/>
      <c r="AF6" s="8"/>
      <c r="AG6" s="8"/>
      <c r="AH6" s="8"/>
      <c r="AI6" s="8"/>
      <c r="AJ6" s="8"/>
      <c r="AK6" s="8"/>
      <c r="AL6" s="8"/>
      <c r="AM6" s="8"/>
      <c r="AN6" s="8"/>
      <c r="AO6" s="8"/>
      <c r="AP6" s="8"/>
      <c r="AQ6" s="8"/>
      <c r="AR6" s="8"/>
      <c r="AS6" s="8"/>
      <c r="AT6" s="8"/>
      <c r="AU6" s="8"/>
      <c r="AV6" s="8"/>
      <c r="AW6" s="8"/>
      <c r="AX6" s="8"/>
      <c r="AY6" s="8"/>
    </row>
    <row r="7" ht="17" customHeight="1">
      <c r="A7" s="251"/>
      <c r="B7" s="251"/>
      <c r="C7" s="251"/>
      <c r="D7" s="251"/>
      <c r="E7" t="s" s="250">
        <v>726</v>
      </c>
      <c r="F7" t="s" s="250">
        <v>820</v>
      </c>
      <c r="G7" s="253">
        <v>1</v>
      </c>
      <c r="H7" s="251"/>
      <c r="I7" s="251"/>
      <c r="J7" s="251"/>
      <c r="K7" s="251"/>
      <c r="L7" s="251"/>
      <c r="M7" s="253">
        <v>1</v>
      </c>
      <c r="N7" s="251"/>
      <c r="O7" s="253">
        <v>0</v>
      </c>
      <c r="P7" s="251"/>
      <c r="Q7" s="253">
        <v>19</v>
      </c>
      <c r="R7" s="251"/>
      <c r="S7" s="253">
        <v>1</v>
      </c>
      <c r="T7" s="251"/>
      <c r="U7" s="251"/>
      <c r="V7" s="253">
        <v>0</v>
      </c>
      <c r="W7" s="253">
        <v>0</v>
      </c>
      <c r="X7" t="s" s="250">
        <v>1436</v>
      </c>
      <c r="Y7" s="253">
        <v>0</v>
      </c>
      <c r="Z7" s="251"/>
      <c r="AA7" s="253">
        <v>0</v>
      </c>
      <c r="AB7" s="251"/>
      <c r="AC7" s="251"/>
      <c r="AD7" t="s" s="250">
        <v>1465</v>
      </c>
      <c r="AE7" s="252"/>
      <c r="AF7" s="8"/>
      <c r="AG7" s="8"/>
      <c r="AH7" s="8"/>
      <c r="AI7" s="8"/>
      <c r="AJ7" s="8"/>
      <c r="AK7" s="8"/>
      <c r="AL7" s="8"/>
      <c r="AM7" s="8"/>
      <c r="AN7" s="8"/>
      <c r="AO7" s="8"/>
      <c r="AP7" s="8"/>
      <c r="AQ7" s="8"/>
      <c r="AR7" s="8"/>
      <c r="AS7" s="8"/>
      <c r="AT7" s="8"/>
      <c r="AU7" s="8"/>
      <c r="AV7" s="8"/>
      <c r="AW7" s="8"/>
      <c r="AX7" s="8"/>
      <c r="AY7" s="8"/>
    </row>
    <row r="8" ht="17" customHeight="1">
      <c r="A8" s="251"/>
      <c r="B8" s="251"/>
      <c r="C8" s="251"/>
      <c r="D8" s="251"/>
      <c r="E8" t="s" s="250">
        <v>1651</v>
      </c>
      <c r="F8" t="s" s="250">
        <v>49</v>
      </c>
      <c r="G8" s="253">
        <v>1</v>
      </c>
      <c r="H8" s="251"/>
      <c r="I8" s="251"/>
      <c r="J8" s="251"/>
      <c r="K8" s="251"/>
      <c r="L8" s="251"/>
      <c r="M8" s="251"/>
      <c r="N8" s="251"/>
      <c r="O8" s="251"/>
      <c r="P8" s="253">
        <v>1</v>
      </c>
      <c r="Q8" s="253">
        <v>20</v>
      </c>
      <c r="R8" s="251"/>
      <c r="S8" s="253">
        <v>1</v>
      </c>
      <c r="T8" s="251"/>
      <c r="U8" s="251"/>
      <c r="V8" s="251"/>
      <c r="W8" s="251"/>
      <c r="X8" t="s" s="250">
        <v>191</v>
      </c>
      <c r="Y8" s="251"/>
      <c r="Z8" s="253">
        <v>1</v>
      </c>
      <c r="AA8" s="251"/>
      <c r="AB8" s="251"/>
      <c r="AC8" s="251"/>
      <c r="AD8" t="s" s="250">
        <v>1465</v>
      </c>
      <c r="AE8" s="252"/>
      <c r="AF8" s="8"/>
      <c r="AG8" s="8"/>
      <c r="AH8" s="8"/>
      <c r="AI8" s="8"/>
      <c r="AJ8" s="8"/>
      <c r="AK8" s="8"/>
      <c r="AL8" s="8"/>
      <c r="AM8" s="8"/>
      <c r="AN8" s="8"/>
      <c r="AO8" s="8"/>
      <c r="AP8" s="8"/>
      <c r="AQ8" s="8"/>
      <c r="AR8" s="8"/>
      <c r="AS8" s="8"/>
      <c r="AT8" s="8"/>
      <c r="AU8" s="8"/>
      <c r="AV8" s="8"/>
      <c r="AW8" s="8"/>
      <c r="AX8" s="8"/>
      <c r="AY8" s="8"/>
    </row>
    <row r="9" ht="17" customHeight="1">
      <c r="A9" s="251"/>
      <c r="B9" s="251"/>
      <c r="C9" s="251"/>
      <c r="D9" s="251"/>
      <c r="E9" t="s" s="250">
        <v>1652</v>
      </c>
      <c r="F9" t="s" s="250">
        <v>463</v>
      </c>
      <c r="G9" s="253">
        <v>1</v>
      </c>
      <c r="H9" s="251"/>
      <c r="I9" s="251"/>
      <c r="J9" s="251"/>
      <c r="K9" s="251"/>
      <c r="L9" s="251"/>
      <c r="M9" s="251"/>
      <c r="N9" s="251"/>
      <c r="O9" s="251"/>
      <c r="P9" s="253">
        <v>1</v>
      </c>
      <c r="Q9" s="253">
        <v>27</v>
      </c>
      <c r="R9" s="251"/>
      <c r="S9" s="253">
        <v>1</v>
      </c>
      <c r="T9" s="251"/>
      <c r="U9" s="251"/>
      <c r="V9" s="251"/>
      <c r="W9" s="251"/>
      <c r="X9" t="s" s="250">
        <v>162</v>
      </c>
      <c r="Y9" s="251"/>
      <c r="Z9" s="253">
        <v>1</v>
      </c>
      <c r="AA9" s="251"/>
      <c r="AB9" s="251"/>
      <c r="AC9" s="251"/>
      <c r="AD9" t="s" s="250">
        <v>449</v>
      </c>
      <c r="AE9" s="252"/>
      <c r="AF9" s="8"/>
      <c r="AG9" s="8"/>
      <c r="AH9" s="8"/>
      <c r="AI9" s="8"/>
      <c r="AJ9" s="8"/>
      <c r="AK9" s="8"/>
      <c r="AL9" s="8"/>
      <c r="AM9" s="8"/>
      <c r="AN9" s="8"/>
      <c r="AO9" s="8"/>
      <c r="AP9" s="8"/>
      <c r="AQ9" s="8"/>
      <c r="AR9" s="8"/>
      <c r="AS9" s="8"/>
      <c r="AT9" s="8"/>
      <c r="AU9" s="8"/>
      <c r="AV9" s="8"/>
      <c r="AW9" s="8"/>
      <c r="AX9" s="8"/>
      <c r="AY9" s="8"/>
    </row>
    <row r="10" ht="17" customHeight="1">
      <c r="A10" t="s" s="250">
        <v>1653</v>
      </c>
      <c r="B10" t="s" s="250">
        <v>1654</v>
      </c>
      <c r="C10" s="251"/>
      <c r="D10" t="s" s="250">
        <v>1647</v>
      </c>
      <c r="E10" t="s" s="250">
        <v>1655</v>
      </c>
      <c r="F10" t="s" s="250">
        <v>1656</v>
      </c>
      <c r="G10" s="251"/>
      <c r="H10" s="253">
        <v>1</v>
      </c>
      <c r="I10" s="251"/>
      <c r="J10" s="251"/>
      <c r="K10" s="253">
        <v>1</v>
      </c>
      <c r="L10" s="251"/>
      <c r="M10" s="251"/>
      <c r="N10" s="251"/>
      <c r="O10" s="251"/>
      <c r="P10" s="251"/>
      <c r="Q10" s="253">
        <v>70</v>
      </c>
      <c r="R10" s="253">
        <v>1</v>
      </c>
      <c r="S10" s="251"/>
      <c r="T10" s="251"/>
      <c r="U10" s="251"/>
      <c r="V10" s="251"/>
      <c r="W10" s="251"/>
      <c r="X10" t="s" s="250">
        <v>1657</v>
      </c>
      <c r="Y10" s="251"/>
      <c r="Z10" s="253">
        <v>1</v>
      </c>
      <c r="AA10" s="251"/>
      <c r="AB10" s="251"/>
      <c r="AC10" s="251"/>
      <c r="AD10" t="s" s="250">
        <v>72</v>
      </c>
      <c r="AE10" s="252"/>
      <c r="AF10" s="8"/>
      <c r="AG10" s="8"/>
      <c r="AH10" s="8"/>
      <c r="AI10" s="8"/>
      <c r="AJ10" s="8"/>
      <c r="AK10" s="8"/>
      <c r="AL10" s="8"/>
      <c r="AM10" s="8"/>
      <c r="AN10" s="8"/>
      <c r="AO10" s="8"/>
      <c r="AP10" s="8"/>
      <c r="AQ10" s="8"/>
      <c r="AR10" s="8"/>
      <c r="AS10" s="8"/>
      <c r="AT10" s="8"/>
      <c r="AU10" s="8"/>
      <c r="AV10" s="8"/>
      <c r="AW10" s="8"/>
      <c r="AX10" s="8"/>
      <c r="AY10" s="8"/>
    </row>
    <row r="11" ht="17" customHeight="1">
      <c r="A11" s="251"/>
      <c r="B11" s="251"/>
      <c r="C11" s="251"/>
      <c r="D11" s="251"/>
      <c r="E11" t="s" s="250">
        <v>1655</v>
      </c>
      <c r="F11" t="s" s="250">
        <v>1658</v>
      </c>
      <c r="G11" s="253">
        <v>1</v>
      </c>
      <c r="H11" s="251"/>
      <c r="I11" s="251"/>
      <c r="J11" s="251"/>
      <c r="K11" s="251"/>
      <c r="L11" s="253">
        <v>1</v>
      </c>
      <c r="M11" s="251"/>
      <c r="N11" s="251"/>
      <c r="O11" s="251"/>
      <c r="P11" s="251"/>
      <c r="Q11" s="253">
        <v>61</v>
      </c>
      <c r="R11" s="253">
        <v>1</v>
      </c>
      <c r="S11" s="251"/>
      <c r="T11" s="251"/>
      <c r="U11" s="253">
        <v>36</v>
      </c>
      <c r="V11" s="253">
        <v>6</v>
      </c>
      <c r="W11" s="253">
        <v>5</v>
      </c>
      <c r="X11" s="251"/>
      <c r="Y11" s="251"/>
      <c r="Z11" s="251"/>
      <c r="AA11" s="253">
        <v>1</v>
      </c>
      <c r="AB11" s="251"/>
      <c r="AC11" s="251"/>
      <c r="AD11" t="s" s="250">
        <v>400</v>
      </c>
      <c r="AE11" s="252"/>
      <c r="AF11" s="8"/>
      <c r="AG11" s="8"/>
      <c r="AH11" s="8"/>
      <c r="AI11" s="8"/>
      <c r="AJ11" s="8"/>
      <c r="AK11" s="8"/>
      <c r="AL11" s="8"/>
      <c r="AM11" s="8"/>
      <c r="AN11" s="8"/>
      <c r="AO11" s="8"/>
      <c r="AP11" s="8"/>
      <c r="AQ11" s="8"/>
      <c r="AR11" s="8"/>
      <c r="AS11" s="8"/>
      <c r="AT11" s="8"/>
      <c r="AU11" s="8"/>
      <c r="AV11" s="8"/>
      <c r="AW11" s="8"/>
      <c r="AX11" s="8"/>
      <c r="AY11" s="8"/>
    </row>
    <row r="12" ht="17" customHeight="1">
      <c r="A12" s="251"/>
      <c r="B12" s="251"/>
      <c r="C12" s="251"/>
      <c r="D12" s="251"/>
      <c r="E12" t="s" s="250">
        <v>1655</v>
      </c>
      <c r="F12" t="s" s="250">
        <v>1141</v>
      </c>
      <c r="G12" s="253">
        <v>1</v>
      </c>
      <c r="H12" s="251"/>
      <c r="I12" s="251"/>
      <c r="J12" s="251"/>
      <c r="K12" s="251"/>
      <c r="L12" s="251"/>
      <c r="M12" s="253">
        <v>1</v>
      </c>
      <c r="N12" s="251"/>
      <c r="O12" s="251"/>
      <c r="P12" s="251"/>
      <c r="Q12" s="253">
        <v>35</v>
      </c>
      <c r="R12" s="251"/>
      <c r="S12" s="253">
        <v>1</v>
      </c>
      <c r="T12" s="251"/>
      <c r="U12" s="251"/>
      <c r="V12" s="251"/>
      <c r="W12" s="251"/>
      <c r="X12" t="s" s="250">
        <v>1659</v>
      </c>
      <c r="Y12" s="251"/>
      <c r="Z12" s="251"/>
      <c r="AA12" s="251"/>
      <c r="AB12" s="251"/>
      <c r="AC12" s="251"/>
      <c r="AD12" t="s" s="250">
        <v>607</v>
      </c>
      <c r="AE12" s="252"/>
      <c r="AF12" s="8"/>
      <c r="AG12" s="8"/>
      <c r="AH12" s="8"/>
      <c r="AI12" s="8"/>
      <c r="AJ12" s="8"/>
      <c r="AK12" s="8"/>
      <c r="AL12" s="8"/>
      <c r="AM12" s="8"/>
      <c r="AN12" s="8"/>
      <c r="AO12" s="8"/>
      <c r="AP12" s="8"/>
      <c r="AQ12" s="8"/>
      <c r="AR12" s="8"/>
      <c r="AS12" s="8"/>
      <c r="AT12" s="8"/>
      <c r="AU12" s="8"/>
      <c r="AV12" s="8"/>
      <c r="AW12" s="8"/>
      <c r="AX12" s="8"/>
      <c r="AY12" s="8"/>
    </row>
    <row r="13" ht="17" customHeight="1">
      <c r="A13" s="251"/>
      <c r="B13" s="251"/>
      <c r="C13" s="251"/>
      <c r="D13" s="251"/>
      <c r="E13" t="s" s="250">
        <v>1655</v>
      </c>
      <c r="F13" t="s" s="250">
        <v>1660</v>
      </c>
      <c r="G13" s="253">
        <v>1</v>
      </c>
      <c r="H13" s="251"/>
      <c r="I13" s="251"/>
      <c r="J13" s="251"/>
      <c r="K13" s="251"/>
      <c r="L13" s="251"/>
      <c r="M13" s="253">
        <v>1</v>
      </c>
      <c r="N13" s="251"/>
      <c r="O13" s="251"/>
      <c r="P13" s="251"/>
      <c r="Q13" s="253">
        <v>18</v>
      </c>
      <c r="R13" s="251"/>
      <c r="S13" s="253">
        <v>1</v>
      </c>
      <c r="T13" s="251"/>
      <c r="U13" s="251"/>
      <c r="V13" s="251"/>
      <c r="W13" s="251"/>
      <c r="X13" t="s" s="250">
        <v>1661</v>
      </c>
      <c r="Y13" s="251"/>
      <c r="Z13" s="251"/>
      <c r="AA13" s="251"/>
      <c r="AB13" s="251"/>
      <c r="AC13" s="251"/>
      <c r="AD13" t="s" s="250">
        <v>607</v>
      </c>
      <c r="AE13" s="252"/>
      <c r="AF13" s="8"/>
      <c r="AG13" s="8"/>
      <c r="AH13" s="8"/>
      <c r="AI13" s="8"/>
      <c r="AJ13" s="8"/>
      <c r="AK13" s="8"/>
      <c r="AL13" s="8"/>
      <c r="AM13" s="8"/>
      <c r="AN13" s="8"/>
      <c r="AO13" s="8"/>
      <c r="AP13" s="8"/>
      <c r="AQ13" s="8"/>
      <c r="AR13" s="8"/>
      <c r="AS13" s="8"/>
      <c r="AT13" s="8"/>
      <c r="AU13" s="8"/>
      <c r="AV13" s="8"/>
      <c r="AW13" s="8"/>
      <c r="AX13" s="8"/>
      <c r="AY13" s="8"/>
    </row>
    <row r="14" ht="17" customHeight="1">
      <c r="A14" s="251"/>
      <c r="B14" s="251"/>
      <c r="C14" s="251"/>
      <c r="D14" s="251"/>
      <c r="E14" t="s" s="250">
        <v>1662</v>
      </c>
      <c r="F14" t="s" s="250">
        <v>248</v>
      </c>
      <c r="G14" s="253">
        <v>1</v>
      </c>
      <c r="H14" s="251"/>
      <c r="I14" s="251"/>
      <c r="J14" s="251"/>
      <c r="K14" s="251"/>
      <c r="L14" s="251"/>
      <c r="M14" s="251"/>
      <c r="N14" s="251"/>
      <c r="O14" s="251"/>
      <c r="P14" s="253">
        <v>1</v>
      </c>
      <c r="Q14" s="253">
        <v>22</v>
      </c>
      <c r="R14" s="251"/>
      <c r="S14" s="253">
        <v>1</v>
      </c>
      <c r="T14" s="251"/>
      <c r="U14" s="251"/>
      <c r="V14" s="251"/>
      <c r="W14" s="251"/>
      <c r="X14" t="s" s="250">
        <v>231</v>
      </c>
      <c r="Y14" s="251"/>
      <c r="Z14" s="253">
        <v>1</v>
      </c>
      <c r="AA14" s="251"/>
      <c r="AB14" s="251"/>
      <c r="AC14" s="251"/>
      <c r="AD14" t="s" s="250">
        <v>144</v>
      </c>
      <c r="AE14" s="252"/>
      <c r="AF14" s="8"/>
      <c r="AG14" s="8"/>
      <c r="AH14" s="8"/>
      <c r="AI14" s="8"/>
      <c r="AJ14" s="8"/>
      <c r="AK14" s="8"/>
      <c r="AL14" s="8"/>
      <c r="AM14" s="8"/>
      <c r="AN14" s="8"/>
      <c r="AO14" s="8"/>
      <c r="AP14" s="8"/>
      <c r="AQ14" s="8"/>
      <c r="AR14" s="8"/>
      <c r="AS14" s="8"/>
      <c r="AT14" s="8"/>
      <c r="AU14" s="8"/>
      <c r="AV14" s="8"/>
      <c r="AW14" s="8"/>
      <c r="AX14" s="8"/>
      <c r="AY14" s="8"/>
    </row>
    <row r="15" ht="17" customHeight="1">
      <c r="A15" t="s" s="250">
        <v>1663</v>
      </c>
      <c r="B15" t="s" s="250">
        <v>1664</v>
      </c>
      <c r="C15" s="251"/>
      <c r="D15" t="s" s="250">
        <v>1647</v>
      </c>
      <c r="E15" t="s" s="250">
        <v>1665</v>
      </c>
      <c r="F15" t="s" s="250">
        <v>1666</v>
      </c>
      <c r="G15" s="251"/>
      <c r="H15" s="253">
        <v>1</v>
      </c>
      <c r="I15" s="251"/>
      <c r="J15" s="251"/>
      <c r="K15" s="253">
        <v>1</v>
      </c>
      <c r="L15" s="251"/>
      <c r="M15" s="251"/>
      <c r="N15" s="251"/>
      <c r="O15" s="251"/>
      <c r="P15" s="251"/>
      <c r="Q15" s="253">
        <v>56</v>
      </c>
      <c r="R15" s="253">
        <v>1</v>
      </c>
      <c r="S15" s="251"/>
      <c r="T15" s="251"/>
      <c r="U15" s="251"/>
      <c r="V15" s="251"/>
      <c r="W15" s="251"/>
      <c r="X15" t="s" s="250">
        <v>1667</v>
      </c>
      <c r="Y15" s="251"/>
      <c r="Z15" s="253">
        <v>1</v>
      </c>
      <c r="AA15" s="253">
        <v>1</v>
      </c>
      <c r="AB15" s="251"/>
      <c r="AC15" s="251"/>
      <c r="AD15" t="s" s="250">
        <v>983</v>
      </c>
      <c r="AE15" s="252"/>
      <c r="AF15" s="8"/>
      <c r="AG15" s="8"/>
      <c r="AH15" s="8"/>
      <c r="AI15" s="8"/>
      <c r="AJ15" s="8"/>
      <c r="AK15" s="8"/>
      <c r="AL15" s="8"/>
      <c r="AM15" s="8"/>
      <c r="AN15" s="8"/>
      <c r="AO15" s="8"/>
      <c r="AP15" s="8"/>
      <c r="AQ15" s="8"/>
      <c r="AR15" s="8"/>
      <c r="AS15" s="8"/>
      <c r="AT15" s="8"/>
      <c r="AU15" s="8"/>
      <c r="AV15" s="8"/>
      <c r="AW15" s="8"/>
      <c r="AX15" s="8"/>
      <c r="AY15" s="8"/>
    </row>
    <row r="16" ht="17" customHeight="1">
      <c r="A16" s="251"/>
      <c r="B16" s="251"/>
      <c r="C16" s="251"/>
      <c r="D16" s="251"/>
      <c r="E16" t="s" s="250">
        <v>1665</v>
      </c>
      <c r="F16" t="s" s="250">
        <v>1131</v>
      </c>
      <c r="G16" s="253">
        <v>1</v>
      </c>
      <c r="H16" s="251"/>
      <c r="I16" s="251"/>
      <c r="J16" s="251"/>
      <c r="K16" s="251"/>
      <c r="L16" s="253">
        <v>1</v>
      </c>
      <c r="M16" s="251"/>
      <c r="N16" s="251"/>
      <c r="O16" s="251"/>
      <c r="P16" s="251"/>
      <c r="Q16" s="253">
        <v>46</v>
      </c>
      <c r="R16" s="253">
        <v>1</v>
      </c>
      <c r="S16" s="251"/>
      <c r="T16" s="251"/>
      <c r="U16" s="253">
        <v>23</v>
      </c>
      <c r="V16" s="253">
        <v>5</v>
      </c>
      <c r="W16" s="253">
        <v>5</v>
      </c>
      <c r="X16" s="251"/>
      <c r="Y16" s="251"/>
      <c r="Z16" s="251"/>
      <c r="AA16" s="251"/>
      <c r="AB16" s="251"/>
      <c r="AC16" s="251"/>
      <c r="AD16" t="s" s="250">
        <v>728</v>
      </c>
      <c r="AE16" s="252"/>
      <c r="AF16" s="8"/>
      <c r="AG16" s="8"/>
      <c r="AH16" s="8"/>
      <c r="AI16" s="8"/>
      <c r="AJ16" s="8"/>
      <c r="AK16" s="8"/>
      <c r="AL16" s="8"/>
      <c r="AM16" s="8"/>
      <c r="AN16" s="8"/>
      <c r="AO16" s="8"/>
      <c r="AP16" s="8"/>
      <c r="AQ16" s="8"/>
      <c r="AR16" s="8"/>
      <c r="AS16" s="8"/>
      <c r="AT16" s="8"/>
      <c r="AU16" s="8"/>
      <c r="AV16" s="8"/>
      <c r="AW16" s="8"/>
      <c r="AX16" s="8"/>
      <c r="AY16" s="8"/>
    </row>
    <row r="17" ht="17" customHeight="1">
      <c r="A17" s="251"/>
      <c r="B17" s="251"/>
      <c r="C17" s="251"/>
      <c r="D17" s="251"/>
      <c r="E17" t="s" s="250">
        <v>1665</v>
      </c>
      <c r="F17" t="s" s="250">
        <v>1668</v>
      </c>
      <c r="G17" s="253">
        <v>1</v>
      </c>
      <c r="H17" s="251"/>
      <c r="I17" s="251"/>
      <c r="J17" s="251"/>
      <c r="K17" s="251"/>
      <c r="L17" s="251"/>
      <c r="M17" s="253">
        <v>1</v>
      </c>
      <c r="N17" s="251"/>
      <c r="O17" s="251"/>
      <c r="P17" s="251"/>
      <c r="Q17" s="253">
        <v>21</v>
      </c>
      <c r="R17" s="251"/>
      <c r="S17" s="253">
        <v>1</v>
      </c>
      <c r="T17" s="251"/>
      <c r="U17" s="251"/>
      <c r="V17" s="251"/>
      <c r="W17" s="251"/>
      <c r="X17" s="251"/>
      <c r="Y17" s="251"/>
      <c r="Z17" s="251"/>
      <c r="AA17" s="251"/>
      <c r="AB17" s="251"/>
      <c r="AC17" s="253">
        <v>1</v>
      </c>
      <c r="AD17" s="251"/>
      <c r="AE17" s="252"/>
      <c r="AF17" s="8"/>
      <c r="AG17" s="8"/>
      <c r="AH17" s="8"/>
      <c r="AI17" s="8"/>
      <c r="AJ17" s="8"/>
      <c r="AK17" s="8"/>
      <c r="AL17" s="8"/>
      <c r="AM17" s="8"/>
      <c r="AN17" s="8"/>
      <c r="AO17" s="8"/>
      <c r="AP17" s="8"/>
      <c r="AQ17" s="8"/>
      <c r="AR17" s="8"/>
      <c r="AS17" s="8"/>
      <c r="AT17" s="8"/>
      <c r="AU17" s="8"/>
      <c r="AV17" s="8"/>
      <c r="AW17" s="8"/>
      <c r="AX17" s="8"/>
      <c r="AY17" s="8"/>
    </row>
    <row r="18" ht="17" customHeight="1">
      <c r="A18" s="251"/>
      <c r="B18" s="251"/>
      <c r="C18" s="251"/>
      <c r="D18" s="251"/>
      <c r="E18" t="s" s="250">
        <v>1665</v>
      </c>
      <c r="F18" t="s" s="250">
        <v>1669</v>
      </c>
      <c r="G18" s="251"/>
      <c r="H18" s="251"/>
      <c r="I18" s="253">
        <v>1</v>
      </c>
      <c r="J18" s="251"/>
      <c r="K18" s="251"/>
      <c r="L18" s="251"/>
      <c r="M18" s="253">
        <v>1</v>
      </c>
      <c r="N18" s="251"/>
      <c r="O18" s="251"/>
      <c r="P18" s="251"/>
      <c r="Q18" s="253">
        <v>17</v>
      </c>
      <c r="R18" s="251"/>
      <c r="S18" s="251"/>
      <c r="T18" s="251"/>
      <c r="U18" s="251"/>
      <c r="V18" s="251"/>
      <c r="W18" s="251"/>
      <c r="X18" t="s" s="250">
        <v>1105</v>
      </c>
      <c r="Y18" s="251"/>
      <c r="Z18" s="251"/>
      <c r="AA18" s="251"/>
      <c r="AB18" s="251"/>
      <c r="AC18" s="253">
        <v>1</v>
      </c>
      <c r="AD18" s="251"/>
      <c r="AE18" s="252"/>
      <c r="AF18" s="8"/>
      <c r="AG18" s="8"/>
      <c r="AH18" s="8"/>
      <c r="AI18" s="8"/>
      <c r="AJ18" s="8"/>
      <c r="AK18" s="8"/>
      <c r="AL18" s="8"/>
      <c r="AM18" s="8"/>
      <c r="AN18" s="8"/>
      <c r="AO18" s="8"/>
      <c r="AP18" s="8"/>
      <c r="AQ18" s="8"/>
      <c r="AR18" s="8"/>
      <c r="AS18" s="8"/>
      <c r="AT18" s="8"/>
      <c r="AU18" s="8"/>
      <c r="AV18" s="8"/>
      <c r="AW18" s="8"/>
      <c r="AX18" s="8"/>
      <c r="AY18" s="8"/>
    </row>
    <row r="19" ht="17" customHeight="1">
      <c r="A19" s="251"/>
      <c r="B19" s="251"/>
      <c r="C19" s="251"/>
      <c r="D19" s="251"/>
      <c r="E19" t="s" s="250">
        <v>1665</v>
      </c>
      <c r="F19" t="s" s="250">
        <v>1670</v>
      </c>
      <c r="G19" s="251"/>
      <c r="H19" s="251"/>
      <c r="I19" s="253">
        <v>1</v>
      </c>
      <c r="J19" s="251"/>
      <c r="K19" s="251"/>
      <c r="L19" s="251"/>
      <c r="M19" s="253">
        <v>1</v>
      </c>
      <c r="N19" s="251"/>
      <c r="O19" s="251"/>
      <c r="P19" s="251"/>
      <c r="Q19" s="253">
        <v>15</v>
      </c>
      <c r="R19" s="251"/>
      <c r="S19" s="251"/>
      <c r="T19" s="251"/>
      <c r="U19" s="251"/>
      <c r="V19" s="251"/>
      <c r="W19" s="251"/>
      <c r="X19" t="s" s="250">
        <v>1105</v>
      </c>
      <c r="Y19" s="251"/>
      <c r="Z19" s="251"/>
      <c r="AA19" s="251"/>
      <c r="AB19" s="251"/>
      <c r="AC19" s="253">
        <v>1</v>
      </c>
      <c r="AD19" s="251"/>
      <c r="AE19" s="252"/>
      <c r="AF19" s="8"/>
      <c r="AG19" s="8"/>
      <c r="AH19" s="8"/>
      <c r="AI19" s="8"/>
      <c r="AJ19" s="8"/>
      <c r="AK19" s="8"/>
      <c r="AL19" s="8"/>
      <c r="AM19" s="8"/>
      <c r="AN19" s="8"/>
      <c r="AO19" s="8"/>
      <c r="AP19" s="8"/>
      <c r="AQ19" s="8"/>
      <c r="AR19" s="8"/>
      <c r="AS19" s="8"/>
      <c r="AT19" s="8"/>
      <c r="AU19" s="8"/>
      <c r="AV19" s="8"/>
      <c r="AW19" s="8"/>
      <c r="AX19" s="8"/>
      <c r="AY19" s="8"/>
    </row>
    <row r="20" ht="17" customHeight="1">
      <c r="A20" s="251"/>
      <c r="B20" s="251"/>
      <c r="C20" s="251"/>
      <c r="D20" s="251"/>
      <c r="E20" t="s" s="250">
        <v>1665</v>
      </c>
      <c r="F20" t="s" s="250">
        <v>1671</v>
      </c>
      <c r="G20" s="251"/>
      <c r="H20" s="251"/>
      <c r="I20" s="253">
        <v>1</v>
      </c>
      <c r="J20" s="251"/>
      <c r="K20" s="251"/>
      <c r="L20" s="251"/>
      <c r="M20" s="253">
        <v>1</v>
      </c>
      <c r="N20" s="251"/>
      <c r="O20" s="251"/>
      <c r="P20" s="251"/>
      <c r="Q20" s="253">
        <v>14</v>
      </c>
      <c r="R20" s="251"/>
      <c r="S20" s="251"/>
      <c r="T20" s="251"/>
      <c r="U20" s="251"/>
      <c r="V20" s="251"/>
      <c r="W20" s="251"/>
      <c r="X20" t="s" s="250">
        <v>1105</v>
      </c>
      <c r="Y20" s="251"/>
      <c r="Z20" s="251"/>
      <c r="AA20" s="251"/>
      <c r="AB20" s="251"/>
      <c r="AC20" s="253">
        <v>1</v>
      </c>
      <c r="AD20" s="251"/>
      <c r="AE20" s="252"/>
      <c r="AF20" s="8"/>
      <c r="AG20" s="8"/>
      <c r="AH20" s="8"/>
      <c r="AI20" s="8"/>
      <c r="AJ20" s="8"/>
      <c r="AK20" s="8"/>
      <c r="AL20" s="8"/>
      <c r="AM20" s="8"/>
      <c r="AN20" s="8"/>
      <c r="AO20" s="8"/>
      <c r="AP20" s="8"/>
      <c r="AQ20" s="8"/>
      <c r="AR20" s="8"/>
      <c r="AS20" s="8"/>
      <c r="AT20" s="8"/>
      <c r="AU20" s="8"/>
      <c r="AV20" s="8"/>
      <c r="AW20" s="8"/>
      <c r="AX20" s="8"/>
      <c r="AY20" s="8"/>
    </row>
    <row r="21" ht="17" customHeight="1">
      <c r="A21" s="251"/>
      <c r="B21" s="251"/>
      <c r="C21" s="251"/>
      <c r="D21" s="251"/>
      <c r="E21" t="s" s="250">
        <v>1665</v>
      </c>
      <c r="F21" t="s" s="250">
        <v>1672</v>
      </c>
      <c r="G21" s="251"/>
      <c r="H21" s="251"/>
      <c r="I21" s="253">
        <v>1</v>
      </c>
      <c r="J21" s="251"/>
      <c r="K21" s="251"/>
      <c r="L21" s="251"/>
      <c r="M21" s="253">
        <v>1</v>
      </c>
      <c r="N21" s="251"/>
      <c r="O21" s="251"/>
      <c r="P21" s="251"/>
      <c r="Q21" s="253">
        <v>9</v>
      </c>
      <c r="R21" s="251"/>
      <c r="S21" s="251"/>
      <c r="T21" s="251"/>
      <c r="U21" s="251"/>
      <c r="V21" s="251"/>
      <c r="W21" s="251"/>
      <c r="X21" t="s" s="250">
        <v>1105</v>
      </c>
      <c r="Y21" s="251"/>
      <c r="Z21" s="251"/>
      <c r="AA21" s="251"/>
      <c r="AB21" s="251"/>
      <c r="AC21" s="253">
        <v>1</v>
      </c>
      <c r="AD21" s="251"/>
      <c r="AE21" s="252"/>
      <c r="AF21" s="8"/>
      <c r="AG21" s="8"/>
      <c r="AH21" s="8"/>
      <c r="AI21" s="8"/>
      <c r="AJ21" s="8"/>
      <c r="AK21" s="8"/>
      <c r="AL21" s="8"/>
      <c r="AM21" s="8"/>
      <c r="AN21" s="8"/>
      <c r="AO21" s="8"/>
      <c r="AP21" s="8"/>
      <c r="AQ21" s="8"/>
      <c r="AR21" s="8"/>
      <c r="AS21" s="8"/>
      <c r="AT21" s="8"/>
      <c r="AU21" s="8"/>
      <c r="AV21" s="8"/>
      <c r="AW21" s="8"/>
      <c r="AX21" s="8"/>
      <c r="AY21" s="8"/>
    </row>
    <row r="22" ht="17" customHeight="1">
      <c r="A22" s="251"/>
      <c r="B22" s="251"/>
      <c r="C22" s="251"/>
      <c r="D22" s="251"/>
      <c r="E22" t="s" s="250">
        <v>1673</v>
      </c>
      <c r="F22" t="s" s="250">
        <v>1244</v>
      </c>
      <c r="G22" s="253">
        <v>1</v>
      </c>
      <c r="H22" s="251"/>
      <c r="I22" s="251"/>
      <c r="J22" s="251"/>
      <c r="K22" s="251"/>
      <c r="L22" s="251"/>
      <c r="M22" s="251"/>
      <c r="N22" s="251"/>
      <c r="O22" s="251"/>
      <c r="P22" s="253">
        <v>1</v>
      </c>
      <c r="Q22" s="253">
        <v>26</v>
      </c>
      <c r="R22" s="251"/>
      <c r="S22" s="253">
        <v>1</v>
      </c>
      <c r="T22" s="251"/>
      <c r="U22" s="251"/>
      <c r="V22" s="251"/>
      <c r="W22" s="251"/>
      <c r="X22" t="s" s="250">
        <v>178</v>
      </c>
      <c r="Y22" s="251"/>
      <c r="Z22" s="253">
        <v>1</v>
      </c>
      <c r="AA22" s="251"/>
      <c r="AB22" s="251"/>
      <c r="AC22" s="251"/>
      <c r="AD22" t="s" s="250">
        <v>400</v>
      </c>
      <c r="AE22" s="252"/>
      <c r="AF22" s="8"/>
      <c r="AG22" s="8"/>
      <c r="AH22" s="8"/>
      <c r="AI22" s="8"/>
      <c r="AJ22" s="8"/>
      <c r="AK22" s="8"/>
      <c r="AL22" s="8"/>
      <c r="AM22" s="8"/>
      <c r="AN22" s="8"/>
      <c r="AO22" s="8"/>
      <c r="AP22" s="8"/>
      <c r="AQ22" s="8"/>
      <c r="AR22" s="8"/>
      <c r="AS22" s="8"/>
      <c r="AT22" s="8"/>
      <c r="AU22" s="8"/>
      <c r="AV22" s="8"/>
      <c r="AW22" s="8"/>
      <c r="AX22" s="8"/>
      <c r="AY22" s="8"/>
    </row>
    <row r="23" ht="17" customHeight="1">
      <c r="A23" s="251"/>
      <c r="B23" s="251"/>
      <c r="C23" s="251"/>
      <c r="D23" s="251"/>
      <c r="E23" t="s" s="250">
        <v>1673</v>
      </c>
      <c r="F23" t="s" s="250">
        <v>241</v>
      </c>
      <c r="G23" s="253">
        <v>1</v>
      </c>
      <c r="H23" s="251"/>
      <c r="I23" s="251"/>
      <c r="J23" s="251"/>
      <c r="K23" s="251"/>
      <c r="L23" s="251"/>
      <c r="M23" s="251"/>
      <c r="N23" s="251"/>
      <c r="O23" s="251"/>
      <c r="P23" s="253">
        <v>1</v>
      </c>
      <c r="Q23" s="253">
        <v>24</v>
      </c>
      <c r="R23" s="251"/>
      <c r="S23" s="253">
        <v>1</v>
      </c>
      <c r="T23" s="251"/>
      <c r="U23" s="251"/>
      <c r="V23" s="251"/>
      <c r="W23" s="251"/>
      <c r="X23" t="s" s="250">
        <v>178</v>
      </c>
      <c r="Y23" s="251"/>
      <c r="Z23" s="253">
        <v>1</v>
      </c>
      <c r="AA23" s="251"/>
      <c r="AB23" s="251"/>
      <c r="AC23" s="251"/>
      <c r="AD23" t="s" s="250">
        <v>400</v>
      </c>
      <c r="AE23" s="252"/>
      <c r="AF23" s="8"/>
      <c r="AG23" s="8"/>
      <c r="AH23" s="8"/>
      <c r="AI23" s="8"/>
      <c r="AJ23" s="8"/>
      <c r="AK23" s="8"/>
      <c r="AL23" s="8"/>
      <c r="AM23" s="8"/>
      <c r="AN23" s="8"/>
      <c r="AO23" s="8"/>
      <c r="AP23" s="8"/>
      <c r="AQ23" s="8"/>
      <c r="AR23" s="8"/>
      <c r="AS23" s="8"/>
      <c r="AT23" s="8"/>
      <c r="AU23" s="8"/>
      <c r="AV23" s="8"/>
      <c r="AW23" s="8"/>
      <c r="AX23" s="8"/>
      <c r="AY23" s="8"/>
    </row>
    <row r="24" ht="17" customHeight="1">
      <c r="A24" t="s" s="250">
        <v>1674</v>
      </c>
      <c r="B24" s="251"/>
      <c r="C24" s="253">
        <v>2</v>
      </c>
      <c r="D24" t="s" s="250">
        <v>1675</v>
      </c>
      <c r="E24" t="s" s="250">
        <v>1676</v>
      </c>
      <c r="F24" t="s" s="250">
        <v>1677</v>
      </c>
      <c r="G24" s="251"/>
      <c r="H24" s="253">
        <v>1</v>
      </c>
      <c r="I24" s="251"/>
      <c r="J24" s="251"/>
      <c r="K24" s="253">
        <v>1</v>
      </c>
      <c r="L24" s="251"/>
      <c r="M24" s="251"/>
      <c r="N24" s="251"/>
      <c r="O24" s="251"/>
      <c r="P24" s="251"/>
      <c r="Q24" s="253">
        <v>46</v>
      </c>
      <c r="R24" s="253">
        <v>1</v>
      </c>
      <c r="S24" s="251"/>
      <c r="T24" s="251"/>
      <c r="U24" s="251"/>
      <c r="V24" s="251"/>
      <c r="W24" s="251"/>
      <c r="X24" t="s" s="250">
        <v>1678</v>
      </c>
      <c r="Y24" s="251"/>
      <c r="Z24" s="253">
        <v>1</v>
      </c>
      <c r="AA24" s="253">
        <v>1</v>
      </c>
      <c r="AB24" s="251"/>
      <c r="AC24" s="253">
        <v>1</v>
      </c>
      <c r="AD24" s="251"/>
      <c r="AE24" s="252"/>
      <c r="AF24" s="8"/>
      <c r="AG24" s="8"/>
      <c r="AH24" s="8"/>
      <c r="AI24" s="8"/>
      <c r="AJ24" s="8"/>
      <c r="AK24" s="8"/>
      <c r="AL24" s="8"/>
      <c r="AM24" s="8"/>
      <c r="AN24" s="8"/>
      <c r="AO24" s="8"/>
      <c r="AP24" s="8"/>
      <c r="AQ24" s="8"/>
      <c r="AR24" s="8"/>
      <c r="AS24" s="8"/>
      <c r="AT24" s="8"/>
      <c r="AU24" s="8"/>
      <c r="AV24" s="8"/>
      <c r="AW24" s="8"/>
      <c r="AX24" s="8"/>
      <c r="AY24" s="8"/>
    </row>
    <row r="25" ht="17" customHeight="1">
      <c r="A25" s="251"/>
      <c r="B25" s="251"/>
      <c r="C25" s="251"/>
      <c r="D25" s="251"/>
      <c r="E25" t="s" s="250">
        <v>1676</v>
      </c>
      <c r="F25" t="s" s="250">
        <v>1679</v>
      </c>
      <c r="G25" s="253">
        <v>1</v>
      </c>
      <c r="H25" s="251"/>
      <c r="I25" s="251"/>
      <c r="J25" s="251"/>
      <c r="K25" s="251"/>
      <c r="L25" s="253">
        <v>1</v>
      </c>
      <c r="M25" s="251"/>
      <c r="N25" s="251"/>
      <c r="O25" s="251"/>
      <c r="P25" s="251"/>
      <c r="Q25" s="253">
        <v>34</v>
      </c>
      <c r="R25" s="253">
        <v>1</v>
      </c>
      <c r="S25" s="251"/>
      <c r="T25" s="251"/>
      <c r="U25" s="253">
        <v>7</v>
      </c>
      <c r="V25" s="253">
        <v>2</v>
      </c>
      <c r="W25" s="253">
        <v>2</v>
      </c>
      <c r="X25" s="251"/>
      <c r="Y25" s="251"/>
      <c r="Z25" s="251"/>
      <c r="AA25" s="251"/>
      <c r="AB25" s="251"/>
      <c r="AC25" s="251"/>
      <c r="AD25" t="s" s="250">
        <v>1022</v>
      </c>
      <c r="AE25" s="252"/>
      <c r="AF25" s="8"/>
      <c r="AG25" s="8"/>
      <c r="AH25" s="8"/>
      <c r="AI25" s="8"/>
      <c r="AJ25" s="8"/>
      <c r="AK25" s="8"/>
      <c r="AL25" s="8"/>
      <c r="AM25" s="8"/>
      <c r="AN25" s="8"/>
      <c r="AO25" s="8"/>
      <c r="AP25" s="8"/>
      <c r="AQ25" s="8"/>
      <c r="AR25" s="8"/>
      <c r="AS25" s="8"/>
      <c r="AT25" s="8"/>
      <c r="AU25" s="8"/>
      <c r="AV25" s="8"/>
      <c r="AW25" s="8"/>
      <c r="AX25" s="8"/>
      <c r="AY25" s="8"/>
    </row>
    <row r="26" ht="17" customHeight="1">
      <c r="A26" s="251"/>
      <c r="B26" s="251"/>
      <c r="C26" s="251"/>
      <c r="D26" s="251"/>
      <c r="E26" t="s" s="250">
        <v>1676</v>
      </c>
      <c r="F26" t="s" s="250">
        <v>1677</v>
      </c>
      <c r="G26" s="251"/>
      <c r="H26" s="251"/>
      <c r="I26" s="251"/>
      <c r="J26" s="253">
        <v>1</v>
      </c>
      <c r="K26" s="251"/>
      <c r="L26" s="251"/>
      <c r="M26" s="251"/>
      <c r="N26" s="253">
        <v>1</v>
      </c>
      <c r="O26" s="251"/>
      <c r="P26" s="251"/>
      <c r="Q26" s="253">
        <v>5</v>
      </c>
      <c r="R26" s="251"/>
      <c r="S26" s="251"/>
      <c r="T26" s="251"/>
      <c r="U26" s="251"/>
      <c r="V26" s="251"/>
      <c r="W26" s="251"/>
      <c r="X26" s="251"/>
      <c r="Y26" s="251"/>
      <c r="Z26" s="251"/>
      <c r="AA26" s="251"/>
      <c r="AB26" s="251"/>
      <c r="AC26" s="253">
        <v>1</v>
      </c>
      <c r="AD26" s="251"/>
      <c r="AE26" s="252"/>
      <c r="AF26" s="8"/>
      <c r="AG26" s="8"/>
      <c r="AH26" s="8"/>
      <c r="AI26" s="8"/>
      <c r="AJ26" s="8"/>
      <c r="AK26" s="8"/>
      <c r="AL26" s="8"/>
      <c r="AM26" s="8"/>
      <c r="AN26" s="8"/>
      <c r="AO26" s="8"/>
      <c r="AP26" s="8"/>
      <c r="AQ26" s="8"/>
      <c r="AR26" s="8"/>
      <c r="AS26" s="8"/>
      <c r="AT26" s="8"/>
      <c r="AU26" s="8"/>
      <c r="AV26" s="8"/>
      <c r="AW26" s="8"/>
      <c r="AX26" s="8"/>
      <c r="AY26" s="8"/>
    </row>
    <row r="27" ht="17" customHeight="1">
      <c r="A27" s="251"/>
      <c r="B27" s="251"/>
      <c r="C27" s="251"/>
      <c r="D27" s="251"/>
      <c r="E27" t="s" s="250">
        <v>1676</v>
      </c>
      <c r="F27" t="s" s="250">
        <v>1680</v>
      </c>
      <c r="G27" s="251"/>
      <c r="H27" s="251"/>
      <c r="I27" s="251"/>
      <c r="J27" s="253">
        <v>1</v>
      </c>
      <c r="K27" s="251"/>
      <c r="L27" s="251"/>
      <c r="M27" s="251"/>
      <c r="N27" s="253">
        <v>1</v>
      </c>
      <c r="O27" s="251"/>
      <c r="P27" s="251"/>
      <c r="Q27" t="s" s="250">
        <v>1368</v>
      </c>
      <c r="R27" s="251"/>
      <c r="S27" s="251"/>
      <c r="T27" s="251"/>
      <c r="U27" s="251"/>
      <c r="V27" s="251"/>
      <c r="W27" s="251"/>
      <c r="X27" s="251"/>
      <c r="Y27" s="251"/>
      <c r="Z27" s="251"/>
      <c r="AA27" s="251"/>
      <c r="AB27" s="251"/>
      <c r="AC27" s="253">
        <v>1</v>
      </c>
      <c r="AD27" s="251"/>
      <c r="AE27" s="252"/>
      <c r="AF27" s="8"/>
      <c r="AG27" s="8"/>
      <c r="AH27" s="8"/>
      <c r="AI27" s="8"/>
      <c r="AJ27" s="8"/>
      <c r="AK27" s="8"/>
      <c r="AL27" s="8"/>
      <c r="AM27" s="8"/>
      <c r="AN27" s="8"/>
      <c r="AO27" s="8"/>
      <c r="AP27" s="8"/>
      <c r="AQ27" s="8"/>
      <c r="AR27" s="8"/>
      <c r="AS27" s="8"/>
      <c r="AT27" s="8"/>
      <c r="AU27" s="8"/>
      <c r="AV27" s="8"/>
      <c r="AW27" s="8"/>
      <c r="AX27" s="8"/>
      <c r="AY27" s="8"/>
    </row>
    <row r="28" ht="17" customHeight="1">
      <c r="A28" s="251"/>
      <c r="B28" s="251"/>
      <c r="C28" s="251"/>
      <c r="D28" s="251"/>
      <c r="E28" t="s" s="250">
        <v>1681</v>
      </c>
      <c r="F28" t="s" s="250">
        <v>566</v>
      </c>
      <c r="G28" s="253">
        <v>1</v>
      </c>
      <c r="H28" s="251"/>
      <c r="I28" s="251"/>
      <c r="J28" s="251"/>
      <c r="K28" s="251"/>
      <c r="L28" s="251"/>
      <c r="M28" s="251"/>
      <c r="N28" s="251"/>
      <c r="O28" s="251"/>
      <c r="P28" s="253">
        <v>1</v>
      </c>
      <c r="Q28" s="253">
        <v>18</v>
      </c>
      <c r="R28" s="251"/>
      <c r="S28" s="253">
        <v>1</v>
      </c>
      <c r="T28" s="251"/>
      <c r="U28" s="251"/>
      <c r="V28" s="251"/>
      <c r="W28" s="251"/>
      <c r="X28" t="s" s="250">
        <v>162</v>
      </c>
      <c r="Y28" s="251"/>
      <c r="Z28" s="253">
        <v>1</v>
      </c>
      <c r="AA28" s="251"/>
      <c r="AB28" s="251"/>
      <c r="AC28" s="251"/>
      <c r="AD28" t="s" s="250">
        <v>400</v>
      </c>
      <c r="AE28" s="252"/>
      <c r="AF28" s="8"/>
      <c r="AG28" s="8"/>
      <c r="AH28" s="8"/>
      <c r="AI28" s="8"/>
      <c r="AJ28" s="8"/>
      <c r="AK28" s="8"/>
      <c r="AL28" s="8"/>
      <c r="AM28" s="8"/>
      <c r="AN28" s="8"/>
      <c r="AO28" s="8"/>
      <c r="AP28" s="8"/>
      <c r="AQ28" s="8"/>
      <c r="AR28" s="8"/>
      <c r="AS28" s="8"/>
      <c r="AT28" s="8"/>
      <c r="AU28" s="8"/>
      <c r="AV28" s="8"/>
      <c r="AW28" s="8"/>
      <c r="AX28" s="8"/>
      <c r="AY28" s="8"/>
    </row>
    <row r="29" ht="17" customHeight="1">
      <c r="A29" s="251"/>
      <c r="B29" s="251"/>
      <c r="C29" s="251"/>
      <c r="D29" s="251"/>
      <c r="E29" t="s" s="250">
        <v>632</v>
      </c>
      <c r="F29" t="s" s="250">
        <v>51</v>
      </c>
      <c r="G29" s="253">
        <v>1</v>
      </c>
      <c r="H29" s="251"/>
      <c r="I29" s="251"/>
      <c r="J29" s="251"/>
      <c r="K29" s="251"/>
      <c r="L29" s="251"/>
      <c r="M29" s="251"/>
      <c r="N29" s="251"/>
      <c r="O29" s="251"/>
      <c r="P29" s="253">
        <v>1</v>
      </c>
      <c r="Q29" s="253">
        <v>21</v>
      </c>
      <c r="R29" s="251"/>
      <c r="S29" s="253">
        <v>1</v>
      </c>
      <c r="T29" s="251"/>
      <c r="U29" s="251"/>
      <c r="V29" s="251"/>
      <c r="W29" s="251"/>
      <c r="X29" t="s" s="250">
        <v>547</v>
      </c>
      <c r="Y29" s="251"/>
      <c r="Z29" s="253">
        <v>1</v>
      </c>
      <c r="AA29" s="251"/>
      <c r="AB29" s="251"/>
      <c r="AC29" s="251"/>
      <c r="AD29" t="s" s="250">
        <v>240</v>
      </c>
      <c r="AE29" s="252"/>
      <c r="AF29" s="8"/>
      <c r="AG29" s="8"/>
      <c r="AH29" s="8"/>
      <c r="AI29" s="8"/>
      <c r="AJ29" s="8"/>
      <c r="AK29" s="8"/>
      <c r="AL29" s="8"/>
      <c r="AM29" s="8"/>
      <c r="AN29" s="8"/>
      <c r="AO29" s="8"/>
      <c r="AP29" s="8"/>
      <c r="AQ29" s="8"/>
      <c r="AR29" s="8"/>
      <c r="AS29" s="8"/>
      <c r="AT29" s="8"/>
      <c r="AU29" s="8"/>
      <c r="AV29" s="8"/>
      <c r="AW29" s="8"/>
      <c r="AX29" s="8"/>
      <c r="AY29" s="8"/>
    </row>
    <row r="30" ht="17" customHeight="1">
      <c r="A30" t="s" s="260">
        <v>285</v>
      </c>
      <c r="B30" s="261">
        <v>4</v>
      </c>
      <c r="C30" s="262"/>
      <c r="D30" t="s" s="260">
        <v>1682</v>
      </c>
      <c r="E30" s="261">
        <v>10</v>
      </c>
      <c r="F30" s="261">
        <v>27</v>
      </c>
      <c r="G30" s="261">
        <f>SUM(G3:G29)</f>
        <v>17</v>
      </c>
      <c r="H30" s="261">
        <f>SUM(H3:H29)</f>
        <v>4</v>
      </c>
      <c r="I30" s="261">
        <f>SUM(I3:I29)</f>
        <v>4</v>
      </c>
      <c r="J30" s="261">
        <f>SUM(J3:J29)</f>
        <v>2</v>
      </c>
      <c r="K30" s="261">
        <f>SUM(K3:K29)</f>
        <v>4</v>
      </c>
      <c r="L30" s="261">
        <f>SUM(L3:L29)</f>
        <v>4</v>
      </c>
      <c r="M30" s="261">
        <f>SUM(M3:M29)</f>
        <v>10</v>
      </c>
      <c r="N30" s="261">
        <f>SUM(N3:N29)</f>
        <v>2</v>
      </c>
      <c r="O30" s="261">
        <f>SUM(O3:O29)</f>
        <v>0</v>
      </c>
      <c r="P30" s="261">
        <f>SUM(P3:P29)</f>
        <v>7</v>
      </c>
      <c r="Q30" s="261">
        <f>SUM(Q3:Q29)</f>
        <v>788</v>
      </c>
      <c r="R30" s="261">
        <f>SUM(R3:R29)</f>
        <v>8</v>
      </c>
      <c r="S30" s="261">
        <f>SUM(S3:S29)</f>
        <v>13</v>
      </c>
      <c r="T30" s="261">
        <f>SUM(T3:T29)</f>
        <v>0</v>
      </c>
      <c r="U30" s="261">
        <f>SUM(U3:U29)</f>
        <v>88</v>
      </c>
      <c r="V30" s="261">
        <f>SUM(V3:V29)</f>
        <v>15</v>
      </c>
      <c r="W30" s="261">
        <f>SUM(W3:W29)</f>
        <v>14</v>
      </c>
      <c r="X30" s="261">
        <f>SUM(X3:X29)</f>
        <v>0</v>
      </c>
      <c r="Y30" s="261">
        <f>SUM(Y3:Y29)</f>
        <v>0</v>
      </c>
      <c r="Z30" s="261">
        <f>SUM(Z3:Z29)</f>
        <v>11</v>
      </c>
      <c r="AA30" s="261">
        <f>SUM(AA3:AA29)</f>
        <v>4</v>
      </c>
      <c r="AB30" s="261">
        <f>SUM(AB3:AB29)</f>
        <v>0</v>
      </c>
      <c r="AC30" s="261">
        <f>SUM(AC3:AC29)</f>
        <v>9</v>
      </c>
      <c r="AD30" s="261">
        <f>F30-AC30</f>
        <v>18</v>
      </c>
      <c r="AE30" s="8"/>
      <c r="AF30" s="8"/>
      <c r="AG30" s="8"/>
      <c r="AH30" s="8"/>
      <c r="AI30" s="8"/>
      <c r="AJ30" s="8"/>
      <c r="AK30" s="8"/>
      <c r="AL30" s="8"/>
      <c r="AM30" s="8"/>
      <c r="AN30" s="8"/>
      <c r="AO30" s="8"/>
      <c r="AP30" s="8"/>
      <c r="AQ30" s="8"/>
      <c r="AR30" s="8"/>
      <c r="AS30" s="8"/>
      <c r="AT30" s="8"/>
      <c r="AU30" s="8"/>
      <c r="AV30" s="8"/>
      <c r="AW30" s="8"/>
      <c r="AX30" s="8"/>
      <c r="AY30" s="8"/>
    </row>
    <row r="31" ht="17" customHeight="1">
      <c r="A31" s="8"/>
      <c r="B31" s="8"/>
      <c r="C31" s="8"/>
      <c r="D31" s="8"/>
      <c r="E31" s="8"/>
      <c r="F31" s="8"/>
      <c r="G31" s="9">
        <f>F30-G30-H30-I30-J30</f>
        <v>0</v>
      </c>
      <c r="H31" s="8"/>
      <c r="I31" s="8"/>
      <c r="J31" s="8"/>
      <c r="K31" s="9">
        <f>F30-K30-L30-M30-N30-O30-P30</f>
        <v>0</v>
      </c>
      <c r="L31" s="8"/>
      <c r="M31" s="8"/>
      <c r="N31" s="8"/>
      <c r="O31" s="8"/>
      <c r="P31" s="8"/>
      <c r="Q31" s="9">
        <f>Q30/F30</f>
        <v>29.1851851851852</v>
      </c>
      <c r="R31" s="9">
        <f>F30-R30-S30-T30-I30-J30</f>
        <v>0</v>
      </c>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AY45"/>
  <sheetViews>
    <sheetView workbookViewId="0" showGridLines="0" defaultGridColor="1"/>
  </sheetViews>
  <sheetFormatPr defaultColWidth="10.8333" defaultRowHeight="16" customHeight="1" outlineLevelRow="0" outlineLevelCol="0"/>
  <cols>
    <col min="1" max="3" width="10.8516" style="303" customWidth="1"/>
    <col min="4" max="4" width="17.8516" style="303" customWidth="1"/>
    <col min="5" max="5" width="20.1719" style="303" customWidth="1"/>
    <col min="6" max="6" width="22.8516" style="303" customWidth="1"/>
    <col min="7" max="10" width="10.8516" style="303" customWidth="1"/>
    <col min="11" max="11" width="19.1719" style="303" customWidth="1"/>
    <col min="12" max="12" width="7.85156" style="303" customWidth="1"/>
    <col min="13" max="13" width="10" style="303" customWidth="1"/>
    <col min="14" max="14" width="8.67188" style="303" customWidth="1"/>
    <col min="15" max="15" width="18.5" style="303" customWidth="1"/>
    <col min="16" max="16" width="11.5" style="303" customWidth="1"/>
    <col min="17" max="17" width="11.6719" style="303" customWidth="1"/>
    <col min="18" max="18" width="12.3516" style="303" customWidth="1"/>
    <col min="19" max="19" width="10.8516" style="303" customWidth="1"/>
    <col min="20" max="20" width="15.1719" style="303" customWidth="1"/>
    <col min="21" max="23" width="10.8516" style="303" customWidth="1"/>
    <col min="24" max="24" width="31" style="303" customWidth="1"/>
    <col min="25" max="25" width="19.8516" style="303" customWidth="1"/>
    <col min="26" max="26" width="12.1719" style="303" customWidth="1"/>
    <col min="27" max="30" width="16.5" style="303" customWidth="1"/>
    <col min="31" max="31" width="14.6719" style="303" customWidth="1"/>
    <col min="32" max="32" width="10.8516" style="303" customWidth="1"/>
    <col min="33" max="33" width="11" style="303" customWidth="1"/>
    <col min="34" max="34" width="11.1719" style="303" customWidth="1"/>
    <col min="35" max="35" width="7.85156" style="303" customWidth="1"/>
    <col min="36" max="37" width="10.8516" style="303" customWidth="1"/>
    <col min="38" max="38" width="7.35156" style="303" customWidth="1"/>
    <col min="39" max="39" width="10.8516" style="303" customWidth="1"/>
    <col min="40" max="40" width="9.17188" style="303" customWidth="1"/>
    <col min="41" max="41" width="10.8516" style="303" customWidth="1"/>
    <col min="42" max="42" width="12.5" style="303" customWidth="1"/>
    <col min="43" max="43" width="13" style="303" customWidth="1"/>
    <col min="44" max="51" width="10.8516" style="303" customWidth="1"/>
    <col min="52" max="16384" width="10.8516" style="303" customWidth="1"/>
  </cols>
  <sheetData>
    <row r="1" ht="47" customHeight="1">
      <c r="A1" t="s" s="12">
        <v>6</v>
      </c>
      <c r="B1" t="s" s="12">
        <v>7</v>
      </c>
      <c r="C1" t="s" s="13">
        <v>8</v>
      </c>
      <c r="D1" t="s" s="14">
        <v>9</v>
      </c>
      <c r="E1" t="s" s="13">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13">
        <v>109</v>
      </c>
      <c r="AF1" s="15"/>
      <c r="AG1" s="36"/>
      <c r="AH1" s="36"/>
      <c r="AI1" s="15"/>
      <c r="AJ1" s="15"/>
      <c r="AK1" s="17"/>
      <c r="AL1" s="15"/>
      <c r="AM1" s="15"/>
      <c r="AN1" s="15"/>
      <c r="AO1" s="17"/>
      <c r="AP1" s="36"/>
      <c r="AQ1" s="36"/>
      <c r="AR1" s="36"/>
      <c r="AS1" s="36"/>
      <c r="AT1" s="36"/>
      <c r="AU1" s="36"/>
      <c r="AV1" s="36"/>
      <c r="AW1" s="15"/>
      <c r="AX1" s="17"/>
      <c r="AY1" s="17"/>
    </row>
    <row r="2" ht="47" customHeight="1">
      <c r="A2" t="s" s="18">
        <v>119</v>
      </c>
      <c r="B2" t="s" s="19">
        <v>120</v>
      </c>
      <c r="C2" s="20"/>
      <c r="D2" t="s" s="14">
        <v>1684</v>
      </c>
      <c r="E2" s="17"/>
      <c r="F2" s="15"/>
      <c r="G2" t="s" s="14">
        <v>24</v>
      </c>
      <c r="H2" t="s" s="14">
        <v>25</v>
      </c>
      <c r="I2" t="s" s="14">
        <v>26</v>
      </c>
      <c r="J2" t="s" s="21">
        <v>27</v>
      </c>
      <c r="K2" t="s" s="125">
        <v>28</v>
      </c>
      <c r="L2" t="s" s="23">
        <v>29</v>
      </c>
      <c r="M2" t="s" s="14">
        <v>30</v>
      </c>
      <c r="N2" t="s" s="14">
        <v>31</v>
      </c>
      <c r="O2" t="s" s="14">
        <v>32</v>
      </c>
      <c r="P2" t="s" s="21">
        <v>33</v>
      </c>
      <c r="Q2" t="s" s="24">
        <v>121</v>
      </c>
      <c r="R2" t="s" s="125">
        <v>122</v>
      </c>
      <c r="S2" t="s" s="125">
        <v>123</v>
      </c>
      <c r="T2" t="s" s="284">
        <v>124</v>
      </c>
      <c r="U2" s="15"/>
      <c r="V2" s="15"/>
      <c r="W2" s="15"/>
      <c r="X2" s="15"/>
      <c r="Y2" s="15"/>
      <c r="Z2" s="15"/>
      <c r="AA2" t="s" s="14">
        <v>35</v>
      </c>
      <c r="AB2" t="s" s="14">
        <v>125</v>
      </c>
      <c r="AC2" t="s" s="14">
        <v>37</v>
      </c>
      <c r="AD2" t="s" s="13">
        <v>32</v>
      </c>
      <c r="AE2" s="17"/>
      <c r="AF2" s="8"/>
      <c r="AG2" s="17"/>
      <c r="AH2" s="17"/>
      <c r="AI2" s="17"/>
      <c r="AJ2" s="17"/>
      <c r="AK2" s="17"/>
      <c r="AL2" s="17"/>
      <c r="AM2" s="17"/>
      <c r="AN2" s="17"/>
      <c r="AO2" s="17"/>
      <c r="AP2" s="17"/>
      <c r="AQ2" s="17"/>
      <c r="AR2" s="17"/>
      <c r="AS2" s="17"/>
      <c r="AT2" s="17"/>
      <c r="AU2" s="17"/>
      <c r="AV2" s="17"/>
      <c r="AW2" s="17"/>
      <c r="AX2" s="17"/>
      <c r="AY2" s="17"/>
    </row>
    <row r="3" ht="19" customHeight="1">
      <c r="A3" t="s" s="30">
        <v>1685</v>
      </c>
      <c r="B3" t="s" s="30">
        <v>1686</v>
      </c>
      <c r="C3" s="17"/>
      <c r="D3" t="s" s="13">
        <v>1687</v>
      </c>
      <c r="E3" t="s" s="13">
        <v>1688</v>
      </c>
      <c r="F3" t="s" s="14">
        <v>1689</v>
      </c>
      <c r="G3" s="15"/>
      <c r="H3" s="32">
        <v>1</v>
      </c>
      <c r="I3" s="15"/>
      <c r="J3" s="15"/>
      <c r="K3" s="33">
        <v>1</v>
      </c>
      <c r="L3" s="15"/>
      <c r="M3" s="15"/>
      <c r="N3" s="15"/>
      <c r="O3" s="15"/>
      <c r="P3" s="15"/>
      <c r="Q3" t="s" s="304">
        <v>351</v>
      </c>
      <c r="R3" s="148"/>
      <c r="S3" s="148"/>
      <c r="T3" s="32">
        <v>1</v>
      </c>
      <c r="U3" s="15"/>
      <c r="V3" s="15"/>
      <c r="W3" s="15"/>
      <c r="X3" t="s" s="14">
        <v>1690</v>
      </c>
      <c r="Y3" s="15"/>
      <c r="Z3" s="15"/>
      <c r="AA3" s="15"/>
      <c r="AB3" s="15"/>
      <c r="AC3" s="32">
        <v>1</v>
      </c>
      <c r="AD3" s="15"/>
      <c r="AE3" t="s" s="13">
        <v>1691</v>
      </c>
      <c r="AF3" s="8"/>
      <c r="AG3" s="17"/>
      <c r="AH3" s="17"/>
      <c r="AI3" s="17"/>
      <c r="AJ3" s="17"/>
      <c r="AK3" s="17"/>
      <c r="AL3" s="17"/>
      <c r="AM3" s="17"/>
      <c r="AN3" s="17"/>
      <c r="AO3" s="17"/>
      <c r="AP3" s="17"/>
      <c r="AQ3" s="17"/>
      <c r="AR3" s="17"/>
      <c r="AS3" s="17"/>
      <c r="AT3" s="17"/>
      <c r="AU3" s="17"/>
      <c r="AV3" s="17"/>
      <c r="AW3" s="17"/>
      <c r="AX3" s="17"/>
      <c r="AY3" s="17"/>
    </row>
    <row r="4" ht="17.45" customHeight="1">
      <c r="A4" s="17"/>
      <c r="B4" s="17"/>
      <c r="C4" s="17"/>
      <c r="D4" s="17"/>
      <c r="E4" t="s" s="13">
        <v>1692</v>
      </c>
      <c r="F4" t="s" s="13">
        <v>1048</v>
      </c>
      <c r="G4" s="29">
        <v>1</v>
      </c>
      <c r="H4" s="17"/>
      <c r="I4" s="17"/>
      <c r="J4" s="17"/>
      <c r="K4" s="17"/>
      <c r="L4" s="17"/>
      <c r="M4" s="36"/>
      <c r="N4" s="36"/>
      <c r="O4" s="36"/>
      <c r="P4" s="35">
        <v>1</v>
      </c>
      <c r="Q4" s="29">
        <v>40</v>
      </c>
      <c r="R4" s="36"/>
      <c r="S4" s="35">
        <v>1</v>
      </c>
      <c r="T4" s="17"/>
      <c r="U4" s="17"/>
      <c r="V4" s="17"/>
      <c r="W4" s="17"/>
      <c r="X4" t="s" s="13">
        <v>830</v>
      </c>
      <c r="Y4" s="17"/>
      <c r="Z4" s="29">
        <v>1</v>
      </c>
      <c r="AA4" s="17"/>
      <c r="AB4" s="17"/>
      <c r="AC4" s="29">
        <v>1</v>
      </c>
      <c r="AD4" s="17"/>
      <c r="AE4" s="17"/>
      <c r="AF4" s="8"/>
      <c r="AG4" s="17"/>
      <c r="AH4" s="17"/>
      <c r="AI4" s="17"/>
      <c r="AJ4" s="17"/>
      <c r="AK4" s="17"/>
      <c r="AL4" s="17"/>
      <c r="AM4" s="17"/>
      <c r="AN4" s="17"/>
      <c r="AO4" s="17"/>
      <c r="AP4" s="17"/>
      <c r="AQ4" s="17"/>
      <c r="AR4" s="17"/>
      <c r="AS4" s="17"/>
      <c r="AT4" s="17"/>
      <c r="AU4" s="17"/>
      <c r="AV4" s="17"/>
      <c r="AW4" s="17"/>
      <c r="AX4" s="17"/>
      <c r="AY4" s="17"/>
    </row>
    <row r="5" ht="17.45" customHeight="1">
      <c r="A5" t="s" s="13">
        <v>1693</v>
      </c>
      <c r="B5" t="s" s="13">
        <v>1694</v>
      </c>
      <c r="C5" s="17"/>
      <c r="D5" s="17"/>
      <c r="E5" t="s" s="13">
        <v>436</v>
      </c>
      <c r="F5" t="s" s="13">
        <v>1658</v>
      </c>
      <c r="G5" s="29">
        <v>1</v>
      </c>
      <c r="H5" s="17"/>
      <c r="I5" s="17"/>
      <c r="J5" s="17"/>
      <c r="K5" s="29">
        <v>1</v>
      </c>
      <c r="L5" s="17"/>
      <c r="M5" s="36"/>
      <c r="N5" s="36"/>
      <c r="O5" s="36"/>
      <c r="P5" s="36"/>
      <c r="Q5" s="35">
        <v>47</v>
      </c>
      <c r="R5" s="36"/>
      <c r="S5" s="36"/>
      <c r="T5" s="35">
        <v>1</v>
      </c>
      <c r="U5" s="17"/>
      <c r="V5" s="17"/>
      <c r="W5" s="17"/>
      <c r="X5" t="s" s="13">
        <v>171</v>
      </c>
      <c r="Y5" s="17"/>
      <c r="Z5" s="17"/>
      <c r="AA5" s="17"/>
      <c r="AB5" s="17"/>
      <c r="AC5" s="17"/>
      <c r="AD5" t="s" s="13">
        <v>240</v>
      </c>
      <c r="AE5" t="s" s="13">
        <v>1695</v>
      </c>
      <c r="AF5" s="8"/>
      <c r="AG5" s="17"/>
      <c r="AH5" s="17"/>
      <c r="AI5" s="17"/>
      <c r="AJ5" s="17"/>
      <c r="AK5" s="17"/>
      <c r="AL5" s="17"/>
      <c r="AM5" s="17"/>
      <c r="AN5" s="17"/>
      <c r="AO5" s="17"/>
      <c r="AP5" s="17"/>
      <c r="AQ5" s="17"/>
      <c r="AR5" s="17"/>
      <c r="AS5" s="17"/>
      <c r="AT5" s="17"/>
      <c r="AU5" s="17"/>
      <c r="AV5" s="17"/>
      <c r="AW5" s="17"/>
      <c r="AX5" s="17"/>
      <c r="AY5" s="17"/>
    </row>
    <row r="6" ht="17.45" customHeight="1">
      <c r="A6" s="17"/>
      <c r="B6" s="17"/>
      <c r="C6" s="17"/>
      <c r="D6" s="17"/>
      <c r="E6" t="s" s="13">
        <v>436</v>
      </c>
      <c r="F6" t="s" s="13">
        <v>1696</v>
      </c>
      <c r="G6" s="17"/>
      <c r="H6" s="17"/>
      <c r="I6" s="29">
        <v>1</v>
      </c>
      <c r="J6" s="17"/>
      <c r="K6" s="17"/>
      <c r="L6" s="17"/>
      <c r="M6" s="35">
        <v>1</v>
      </c>
      <c r="N6" s="36"/>
      <c r="O6" s="36"/>
      <c r="P6" s="36"/>
      <c r="Q6" s="35">
        <v>13</v>
      </c>
      <c r="R6" s="36"/>
      <c r="S6" s="35">
        <v>1</v>
      </c>
      <c r="T6" s="36"/>
      <c r="U6" s="17"/>
      <c r="V6" s="17"/>
      <c r="W6" s="17"/>
      <c r="X6" t="s" s="13">
        <v>246</v>
      </c>
      <c r="Y6" s="17"/>
      <c r="Z6" s="17"/>
      <c r="AA6" s="17"/>
      <c r="AB6" s="17"/>
      <c r="AC6" s="29">
        <v>1</v>
      </c>
      <c r="AD6" s="17"/>
      <c r="AE6" t="s" s="13">
        <v>1697</v>
      </c>
      <c r="AF6" s="8"/>
      <c r="AG6" s="17"/>
      <c r="AH6" s="17"/>
      <c r="AI6" s="17"/>
      <c r="AJ6" s="17"/>
      <c r="AK6" s="17"/>
      <c r="AL6" s="17"/>
      <c r="AM6" s="17"/>
      <c r="AN6" s="17"/>
      <c r="AO6" s="17"/>
      <c r="AP6" s="17"/>
      <c r="AQ6" s="17"/>
      <c r="AR6" s="17"/>
      <c r="AS6" s="17"/>
      <c r="AT6" s="17"/>
      <c r="AU6" s="17"/>
      <c r="AV6" s="17"/>
      <c r="AW6" s="17"/>
      <c r="AX6" s="17"/>
      <c r="AY6" s="17"/>
    </row>
    <row r="7" ht="17.45" customHeight="1">
      <c r="A7" t="s" s="13">
        <v>1698</v>
      </c>
      <c r="B7" t="s" s="13">
        <v>1699</v>
      </c>
      <c r="C7" s="29">
        <v>11</v>
      </c>
      <c r="D7" s="17"/>
      <c r="E7" t="s" s="13">
        <v>797</v>
      </c>
      <c r="F7" t="s" s="13">
        <v>1700</v>
      </c>
      <c r="G7" s="17"/>
      <c r="H7" s="29">
        <v>1</v>
      </c>
      <c r="I7" s="17"/>
      <c r="J7" s="17"/>
      <c r="K7" s="29">
        <v>1</v>
      </c>
      <c r="L7" s="17"/>
      <c r="M7" s="36"/>
      <c r="N7" s="36"/>
      <c r="O7" s="36"/>
      <c r="P7" s="36"/>
      <c r="Q7" s="35">
        <v>64</v>
      </c>
      <c r="R7" s="35">
        <v>1</v>
      </c>
      <c r="S7" s="36"/>
      <c r="T7" s="36"/>
      <c r="U7" s="17"/>
      <c r="V7" s="17"/>
      <c r="W7" s="17"/>
      <c r="X7" t="s" s="13">
        <v>1701</v>
      </c>
      <c r="Y7" s="17"/>
      <c r="Z7" s="29">
        <v>1</v>
      </c>
      <c r="AA7" s="29">
        <v>1</v>
      </c>
      <c r="AB7" s="17"/>
      <c r="AC7" s="17"/>
      <c r="AD7" t="s" s="13">
        <v>435</v>
      </c>
      <c r="AE7" t="s" s="13">
        <v>1702</v>
      </c>
      <c r="AF7" s="8"/>
      <c r="AG7" s="17"/>
      <c r="AH7" s="17"/>
      <c r="AI7" s="17"/>
      <c r="AJ7" s="17"/>
      <c r="AK7" s="17"/>
      <c r="AL7" s="17"/>
      <c r="AM7" s="17"/>
      <c r="AN7" s="17"/>
      <c r="AO7" s="17"/>
      <c r="AP7" s="17"/>
      <c r="AQ7" s="17"/>
      <c r="AR7" s="17"/>
      <c r="AS7" s="17"/>
      <c r="AT7" s="17"/>
      <c r="AU7" s="17"/>
      <c r="AV7" s="17"/>
      <c r="AW7" s="17"/>
      <c r="AX7" s="17"/>
      <c r="AY7" s="17"/>
    </row>
    <row r="8" ht="17.45" customHeight="1">
      <c r="A8" s="17"/>
      <c r="B8" s="17"/>
      <c r="C8" s="17"/>
      <c r="D8" s="17"/>
      <c r="E8" t="s" s="13">
        <v>797</v>
      </c>
      <c r="F8" t="s" s="13">
        <v>1703</v>
      </c>
      <c r="G8" s="29">
        <v>1</v>
      </c>
      <c r="H8" s="17"/>
      <c r="I8" s="17"/>
      <c r="J8" s="17"/>
      <c r="K8" s="17"/>
      <c r="L8" s="29">
        <v>1</v>
      </c>
      <c r="M8" s="36"/>
      <c r="N8" s="36"/>
      <c r="O8" s="36"/>
      <c r="P8" s="36"/>
      <c r="Q8" s="35">
        <v>62</v>
      </c>
      <c r="R8" s="35">
        <v>1</v>
      </c>
      <c r="S8" s="36"/>
      <c r="T8" s="36"/>
      <c r="U8" s="29">
        <v>30</v>
      </c>
      <c r="V8" s="35">
        <v>9</v>
      </c>
      <c r="W8" s="35">
        <v>7</v>
      </c>
      <c r="X8" s="17"/>
      <c r="Y8" s="17"/>
      <c r="Z8" s="17"/>
      <c r="AA8" s="17"/>
      <c r="AB8" s="17"/>
      <c r="AC8" s="17"/>
      <c r="AD8" t="s" s="13">
        <v>156</v>
      </c>
      <c r="AE8" s="17"/>
      <c r="AF8" s="8"/>
      <c r="AG8" s="17"/>
      <c r="AH8" s="17"/>
      <c r="AI8" s="17"/>
      <c r="AJ8" s="17"/>
      <c r="AK8" s="17"/>
      <c r="AL8" s="17"/>
      <c r="AM8" s="17"/>
      <c r="AN8" s="17"/>
      <c r="AO8" s="17"/>
      <c r="AP8" s="17"/>
      <c r="AQ8" s="17"/>
      <c r="AR8" s="17"/>
      <c r="AS8" s="17"/>
      <c r="AT8" s="17"/>
      <c r="AU8" s="17"/>
      <c r="AV8" s="17"/>
      <c r="AW8" s="17"/>
      <c r="AX8" s="17"/>
      <c r="AY8" s="17"/>
    </row>
    <row r="9" ht="17.45" customHeight="1">
      <c r="A9" s="17"/>
      <c r="B9" s="17"/>
      <c r="C9" s="17"/>
      <c r="D9" s="17"/>
      <c r="E9" t="s" s="13">
        <v>797</v>
      </c>
      <c r="F9" t="s" s="13">
        <v>1704</v>
      </c>
      <c r="G9" s="29">
        <v>1</v>
      </c>
      <c r="H9" s="17"/>
      <c r="I9" s="17"/>
      <c r="J9" s="17"/>
      <c r="K9" s="17"/>
      <c r="L9" s="17"/>
      <c r="M9" s="35">
        <v>1</v>
      </c>
      <c r="N9" s="36"/>
      <c r="O9" s="36"/>
      <c r="P9" s="36"/>
      <c r="Q9" s="35">
        <v>29</v>
      </c>
      <c r="R9" s="36"/>
      <c r="S9" s="35">
        <v>1</v>
      </c>
      <c r="T9" s="17"/>
      <c r="U9" s="17"/>
      <c r="V9" s="17"/>
      <c r="W9" s="17"/>
      <c r="X9" t="s" s="13">
        <v>79</v>
      </c>
      <c r="Y9" t="s" s="13">
        <v>1705</v>
      </c>
      <c r="Z9" s="29">
        <v>1</v>
      </c>
      <c r="AA9" s="17"/>
      <c r="AB9" s="29">
        <v>1</v>
      </c>
      <c r="AC9" s="29">
        <v>1</v>
      </c>
      <c r="AD9" s="17"/>
      <c r="AE9" s="17"/>
      <c r="AF9" s="8"/>
      <c r="AG9" s="17"/>
      <c r="AH9" s="17"/>
      <c r="AI9" s="17"/>
      <c r="AJ9" s="17"/>
      <c r="AK9" s="17"/>
      <c r="AL9" s="17"/>
      <c r="AM9" s="17"/>
      <c r="AN9" s="17"/>
      <c r="AO9" s="17"/>
      <c r="AP9" s="17"/>
      <c r="AQ9" s="17"/>
      <c r="AR9" s="17"/>
      <c r="AS9" s="17"/>
      <c r="AT9" s="17"/>
      <c r="AU9" s="17"/>
      <c r="AV9" s="17"/>
      <c r="AW9" s="17"/>
      <c r="AX9" s="17"/>
      <c r="AY9" s="17"/>
    </row>
    <row r="10" ht="17.45" customHeight="1">
      <c r="A10" s="17"/>
      <c r="B10" s="17"/>
      <c r="C10" s="17"/>
      <c r="D10" s="17"/>
      <c r="E10" t="s" s="13">
        <v>797</v>
      </c>
      <c r="F10" t="s" s="13">
        <v>1706</v>
      </c>
      <c r="G10" s="17"/>
      <c r="H10" s="29">
        <v>1</v>
      </c>
      <c r="I10" s="17"/>
      <c r="J10" s="17"/>
      <c r="K10" s="17"/>
      <c r="L10" s="17"/>
      <c r="M10" s="36"/>
      <c r="N10" s="35">
        <v>1</v>
      </c>
      <c r="O10" s="36"/>
      <c r="P10" s="36"/>
      <c r="Q10" s="35">
        <v>25</v>
      </c>
      <c r="R10" s="36"/>
      <c r="S10" s="35">
        <v>1</v>
      </c>
      <c r="T10" s="36"/>
      <c r="U10" s="17"/>
      <c r="V10" s="17"/>
      <c r="W10" s="17"/>
      <c r="X10" t="s" s="13">
        <v>79</v>
      </c>
      <c r="Y10" t="s" s="13">
        <v>1707</v>
      </c>
      <c r="Z10" s="29">
        <v>1</v>
      </c>
      <c r="AA10" s="17"/>
      <c r="AB10" s="29">
        <v>1</v>
      </c>
      <c r="AC10" s="29">
        <v>1</v>
      </c>
      <c r="AD10" s="17"/>
      <c r="AE10" s="17"/>
      <c r="AF10" s="8"/>
      <c r="AG10" s="17"/>
      <c r="AH10" s="17"/>
      <c r="AI10" s="17"/>
      <c r="AJ10" s="17"/>
      <c r="AK10" s="17"/>
      <c r="AL10" s="17"/>
      <c r="AM10" s="17"/>
      <c r="AN10" s="17"/>
      <c r="AO10" s="17"/>
      <c r="AP10" s="17"/>
      <c r="AQ10" s="17"/>
      <c r="AR10" s="17"/>
      <c r="AS10" s="17"/>
      <c r="AT10" s="17"/>
      <c r="AU10" s="17"/>
      <c r="AV10" s="17"/>
      <c r="AW10" s="17"/>
      <c r="AX10" s="17"/>
      <c r="AY10" s="17"/>
    </row>
    <row r="11" ht="17" customHeight="1">
      <c r="A11" s="17"/>
      <c r="B11" s="17"/>
      <c r="C11" s="17"/>
      <c r="D11" s="17"/>
      <c r="E11" t="s" s="13">
        <v>325</v>
      </c>
      <c r="F11" t="s" s="13">
        <v>1708</v>
      </c>
      <c r="G11" s="29">
        <v>1</v>
      </c>
      <c r="H11" s="17"/>
      <c r="I11" s="17"/>
      <c r="J11" s="17"/>
      <c r="K11" s="17"/>
      <c r="L11" s="17"/>
      <c r="M11" s="36"/>
      <c r="N11" s="36"/>
      <c r="O11" t="s" s="47">
        <v>441</v>
      </c>
      <c r="P11" s="36"/>
      <c r="Q11" s="35">
        <v>72</v>
      </c>
      <c r="R11" s="36"/>
      <c r="S11" s="36"/>
      <c r="T11" s="35">
        <v>1</v>
      </c>
      <c r="U11" s="29">
        <v>4</v>
      </c>
      <c r="V11" s="35">
        <v>1</v>
      </c>
      <c r="W11" s="35">
        <v>1</v>
      </c>
      <c r="X11" s="17"/>
      <c r="Y11" s="17"/>
      <c r="Z11" s="17"/>
      <c r="AA11" s="17"/>
      <c r="AB11" s="17"/>
      <c r="AC11" s="17"/>
      <c r="AD11" t="s" s="13">
        <v>156</v>
      </c>
      <c r="AE11" s="17"/>
      <c r="AF11" s="8"/>
      <c r="AG11" s="17"/>
      <c r="AH11" s="17"/>
      <c r="AI11" s="17"/>
      <c r="AJ11" s="17"/>
      <c r="AK11" s="17"/>
      <c r="AL11" s="17"/>
      <c r="AM11" s="17"/>
      <c r="AN11" s="17"/>
      <c r="AO11" s="17"/>
      <c r="AP11" s="17"/>
      <c r="AQ11" s="17"/>
      <c r="AR11" s="17"/>
      <c r="AS11" s="17"/>
      <c r="AT11" s="17"/>
      <c r="AU11" s="17"/>
      <c r="AV11" s="17"/>
      <c r="AW11" s="17"/>
      <c r="AX11" s="17"/>
      <c r="AY11" s="17"/>
    </row>
    <row r="12" ht="17.45" customHeight="1">
      <c r="A12" s="17"/>
      <c r="B12" s="17"/>
      <c r="C12" s="17"/>
      <c r="D12" s="17"/>
      <c r="E12" t="s" s="13">
        <v>325</v>
      </c>
      <c r="F12" t="s" s="13">
        <v>686</v>
      </c>
      <c r="G12" s="29">
        <v>1</v>
      </c>
      <c r="H12" s="17"/>
      <c r="I12" s="17"/>
      <c r="J12" s="17"/>
      <c r="K12" s="17"/>
      <c r="L12" s="17"/>
      <c r="M12" s="17"/>
      <c r="N12" s="17"/>
      <c r="O12" t="s" s="13">
        <v>465</v>
      </c>
      <c r="P12" s="17"/>
      <c r="Q12" s="29">
        <v>29</v>
      </c>
      <c r="R12" s="17"/>
      <c r="S12" s="35">
        <v>1</v>
      </c>
      <c r="T12" s="17"/>
      <c r="U12" s="17"/>
      <c r="V12" s="17"/>
      <c r="W12" s="17"/>
      <c r="X12" t="s" s="13">
        <v>1709</v>
      </c>
      <c r="Y12" t="s" s="13">
        <v>1710</v>
      </c>
      <c r="Z12" s="29">
        <v>1</v>
      </c>
      <c r="AA12" s="17"/>
      <c r="AB12" s="29">
        <v>1</v>
      </c>
      <c r="AC12" s="17"/>
      <c r="AD12" t="s" s="13">
        <v>156</v>
      </c>
      <c r="AE12" s="17"/>
      <c r="AF12" s="8"/>
      <c r="AG12" s="17"/>
      <c r="AH12" s="17"/>
      <c r="AI12" s="17"/>
      <c r="AJ12" s="17"/>
      <c r="AK12" s="17"/>
      <c r="AL12" s="17"/>
      <c r="AM12" s="17"/>
      <c r="AN12" s="17"/>
      <c r="AO12" s="17"/>
      <c r="AP12" s="17"/>
      <c r="AQ12" s="17"/>
      <c r="AR12" s="17"/>
      <c r="AS12" s="17"/>
      <c r="AT12" s="17"/>
      <c r="AU12" s="17"/>
      <c r="AV12" s="17"/>
      <c r="AW12" s="17"/>
      <c r="AX12" s="17"/>
      <c r="AY12" s="17"/>
    </row>
    <row r="13" ht="17" customHeight="1">
      <c r="A13" s="17"/>
      <c r="B13" s="17"/>
      <c r="C13" s="17"/>
      <c r="D13" s="17"/>
      <c r="E13" t="s" s="13">
        <v>1711</v>
      </c>
      <c r="F13" t="s" s="13">
        <v>1712</v>
      </c>
      <c r="G13" s="17"/>
      <c r="H13" s="29">
        <v>1</v>
      </c>
      <c r="I13" s="17"/>
      <c r="J13" s="17"/>
      <c r="K13" s="17"/>
      <c r="L13" s="17"/>
      <c r="M13" s="36"/>
      <c r="N13" s="36"/>
      <c r="O13" t="s" s="47">
        <v>441</v>
      </c>
      <c r="P13" s="36"/>
      <c r="Q13" s="35">
        <v>58</v>
      </c>
      <c r="R13" s="35">
        <v>1</v>
      </c>
      <c r="S13" s="36"/>
      <c r="T13" s="36"/>
      <c r="U13" s="29">
        <v>34</v>
      </c>
      <c r="V13" s="35">
        <v>8</v>
      </c>
      <c r="W13" s="35">
        <v>5</v>
      </c>
      <c r="X13" t="s" s="13">
        <v>1713</v>
      </c>
      <c r="Y13" t="s" s="13">
        <v>1714</v>
      </c>
      <c r="Z13" s="29">
        <v>1</v>
      </c>
      <c r="AA13" s="17"/>
      <c r="AB13" s="17"/>
      <c r="AC13" s="17"/>
      <c r="AD13" t="s" s="13">
        <v>156</v>
      </c>
      <c r="AE13" s="17"/>
      <c r="AF13" s="8"/>
      <c r="AG13" s="17"/>
      <c r="AH13" s="17"/>
      <c r="AI13" s="17"/>
      <c r="AJ13" s="17"/>
      <c r="AK13" s="17"/>
      <c r="AL13" s="17"/>
      <c r="AM13" s="17"/>
      <c r="AN13" s="17"/>
      <c r="AO13" s="17"/>
      <c r="AP13" s="17"/>
      <c r="AQ13" s="17"/>
      <c r="AR13" s="17"/>
      <c r="AS13" s="17"/>
      <c r="AT13" s="17"/>
      <c r="AU13" s="17"/>
      <c r="AV13" s="17"/>
      <c r="AW13" s="17"/>
      <c r="AX13" s="17"/>
      <c r="AY13" s="17"/>
    </row>
    <row r="14" ht="17" customHeight="1">
      <c r="A14" t="s" s="13">
        <v>1715</v>
      </c>
      <c r="B14" s="17"/>
      <c r="C14" s="29">
        <v>2</v>
      </c>
      <c r="D14" s="17"/>
      <c r="E14" t="s" s="13">
        <v>1716</v>
      </c>
      <c r="F14" t="s" s="13">
        <v>1160</v>
      </c>
      <c r="G14" s="17"/>
      <c r="H14" s="29">
        <v>1</v>
      </c>
      <c r="I14" s="17"/>
      <c r="J14" s="17"/>
      <c r="K14" s="29">
        <v>1</v>
      </c>
      <c r="L14" s="17"/>
      <c r="M14" s="36"/>
      <c r="N14" s="36"/>
      <c r="O14" s="36"/>
      <c r="P14" s="36"/>
      <c r="Q14" s="35">
        <v>34</v>
      </c>
      <c r="R14" s="35">
        <v>1</v>
      </c>
      <c r="S14" s="36"/>
      <c r="T14" s="36"/>
      <c r="U14" s="17"/>
      <c r="V14" s="36"/>
      <c r="W14" s="36"/>
      <c r="X14" t="s" s="13">
        <v>265</v>
      </c>
      <c r="Y14" s="17"/>
      <c r="Z14" s="29">
        <v>1</v>
      </c>
      <c r="AA14" s="29">
        <v>1</v>
      </c>
      <c r="AB14" s="17"/>
      <c r="AC14" s="17"/>
      <c r="AD14" t="s" s="13">
        <v>1717</v>
      </c>
      <c r="AE14" s="17"/>
      <c r="AF14" s="8"/>
      <c r="AG14" s="17"/>
      <c r="AH14" s="17"/>
      <c r="AI14" s="17"/>
      <c r="AJ14" s="17"/>
      <c r="AK14" s="17"/>
      <c r="AL14" s="17"/>
      <c r="AM14" s="17"/>
      <c r="AN14" s="17"/>
      <c r="AO14" s="17"/>
      <c r="AP14" s="17"/>
      <c r="AQ14" s="17"/>
      <c r="AR14" s="17"/>
      <c r="AS14" s="17"/>
      <c r="AT14" s="17"/>
      <c r="AU14" s="17"/>
      <c r="AV14" s="17"/>
      <c r="AW14" s="17"/>
      <c r="AX14" s="17"/>
      <c r="AY14" s="17"/>
    </row>
    <row r="15" ht="17" customHeight="1">
      <c r="A15" s="17"/>
      <c r="B15" s="17"/>
      <c r="C15" s="17"/>
      <c r="D15" s="17"/>
      <c r="E15" t="s" s="13">
        <v>1716</v>
      </c>
      <c r="F15" t="s" s="13">
        <v>1718</v>
      </c>
      <c r="G15" s="29">
        <v>1</v>
      </c>
      <c r="H15" s="17"/>
      <c r="I15" s="17"/>
      <c r="J15" s="17"/>
      <c r="K15" s="17"/>
      <c r="L15" s="29">
        <v>1</v>
      </c>
      <c r="M15" s="36"/>
      <c r="N15" s="36"/>
      <c r="O15" s="36"/>
      <c r="P15" s="36"/>
      <c r="Q15" s="35">
        <v>35</v>
      </c>
      <c r="R15" s="35">
        <v>1</v>
      </c>
      <c r="S15" s="36"/>
      <c r="T15" s="36"/>
      <c r="U15" s="29">
        <v>3</v>
      </c>
      <c r="V15" s="35">
        <v>2</v>
      </c>
      <c r="W15" s="35">
        <v>2</v>
      </c>
      <c r="X15" s="17"/>
      <c r="Y15" s="17"/>
      <c r="Z15" s="17"/>
      <c r="AA15" s="17"/>
      <c r="AB15" s="17"/>
      <c r="AC15" s="17"/>
      <c r="AD15" t="s" s="13">
        <v>1719</v>
      </c>
      <c r="AE15" s="17"/>
      <c r="AF15" s="8"/>
      <c r="AG15" s="17"/>
      <c r="AH15" s="17"/>
      <c r="AI15" s="17"/>
      <c r="AJ15" s="17"/>
      <c r="AK15" s="17"/>
      <c r="AL15" s="17"/>
      <c r="AM15" s="17"/>
      <c r="AN15" s="17"/>
      <c r="AO15" s="17"/>
      <c r="AP15" s="17"/>
      <c r="AQ15" s="17"/>
      <c r="AR15" s="17"/>
      <c r="AS15" s="17"/>
      <c r="AT15" s="17"/>
      <c r="AU15" s="17"/>
      <c r="AV15" s="17"/>
      <c r="AW15" s="17"/>
      <c r="AX15" s="17"/>
      <c r="AY15" s="17"/>
    </row>
    <row r="16" ht="17" customHeight="1">
      <c r="A16" s="17"/>
      <c r="B16" s="17"/>
      <c r="C16" s="17"/>
      <c r="D16" s="17"/>
      <c r="E16" t="s" s="13">
        <v>1716</v>
      </c>
      <c r="F16" t="s" s="13">
        <v>645</v>
      </c>
      <c r="G16" s="17"/>
      <c r="H16" s="17"/>
      <c r="I16" s="29">
        <v>1</v>
      </c>
      <c r="J16" s="17"/>
      <c r="K16" s="17"/>
      <c r="L16" s="17"/>
      <c r="M16" s="35">
        <v>1</v>
      </c>
      <c r="N16" s="36"/>
      <c r="O16" s="36"/>
      <c r="P16" s="36"/>
      <c r="Q16" s="35">
        <v>7</v>
      </c>
      <c r="R16" s="36"/>
      <c r="S16" s="35">
        <v>1</v>
      </c>
      <c r="T16" s="36"/>
      <c r="U16" s="17"/>
      <c r="V16" s="36"/>
      <c r="W16" s="36"/>
      <c r="X16" t="s" s="13">
        <v>246</v>
      </c>
      <c r="Y16" s="17"/>
      <c r="Z16" s="17"/>
      <c r="AA16" s="17"/>
      <c r="AB16" s="17"/>
      <c r="AC16" s="17"/>
      <c r="AD16" t="s" s="13">
        <v>527</v>
      </c>
      <c r="AE16" s="17"/>
      <c r="AF16" s="8"/>
      <c r="AG16" s="17"/>
      <c r="AH16" s="17"/>
      <c r="AI16" s="17"/>
      <c r="AJ16" s="17"/>
      <c r="AK16" s="17"/>
      <c r="AL16" s="17"/>
      <c r="AM16" s="17"/>
      <c r="AN16" s="17"/>
      <c r="AO16" s="17"/>
      <c r="AP16" s="17"/>
      <c r="AQ16" s="17"/>
      <c r="AR16" s="17"/>
      <c r="AS16" s="17"/>
      <c r="AT16" s="17"/>
      <c r="AU16" s="17"/>
      <c r="AV16" s="17"/>
      <c r="AW16" s="17"/>
      <c r="AX16" s="17"/>
      <c r="AY16" s="17"/>
    </row>
    <row r="17" ht="17" customHeight="1">
      <c r="A17" s="17"/>
      <c r="B17" s="17"/>
      <c r="C17" s="17"/>
      <c r="D17" s="17"/>
      <c r="E17" t="s" s="13">
        <v>1716</v>
      </c>
      <c r="F17" t="s" s="13">
        <v>1720</v>
      </c>
      <c r="G17" s="17"/>
      <c r="H17" s="17"/>
      <c r="I17" s="17"/>
      <c r="J17" s="29">
        <v>1</v>
      </c>
      <c r="K17" s="17"/>
      <c r="L17" s="17"/>
      <c r="M17" s="36"/>
      <c r="N17" s="35">
        <v>1</v>
      </c>
      <c r="O17" s="36"/>
      <c r="P17" s="36"/>
      <c r="Q17" s="35">
        <v>2</v>
      </c>
      <c r="R17" s="36"/>
      <c r="S17" s="35">
        <v>1</v>
      </c>
      <c r="T17" s="36"/>
      <c r="U17" s="17"/>
      <c r="V17" s="36"/>
      <c r="W17" s="36"/>
      <c r="X17" s="17"/>
      <c r="Y17" s="17"/>
      <c r="Z17" s="17"/>
      <c r="AA17" s="17"/>
      <c r="AB17" s="17"/>
      <c r="AC17" s="29">
        <v>1</v>
      </c>
      <c r="AD17" s="17"/>
      <c r="AE17" s="17"/>
      <c r="AF17" s="8"/>
      <c r="AG17" s="17"/>
      <c r="AH17" s="17"/>
      <c r="AI17" s="17"/>
      <c r="AJ17" s="17"/>
      <c r="AK17" s="17"/>
      <c r="AL17" s="17"/>
      <c r="AM17" s="17"/>
      <c r="AN17" s="17"/>
      <c r="AO17" s="17"/>
      <c r="AP17" s="17"/>
      <c r="AQ17" s="17"/>
      <c r="AR17" s="17"/>
      <c r="AS17" s="17"/>
      <c r="AT17" s="17"/>
      <c r="AU17" s="17"/>
      <c r="AV17" s="17"/>
      <c r="AW17" s="17"/>
      <c r="AX17" s="17"/>
      <c r="AY17" s="17"/>
    </row>
    <row r="18" ht="17" customHeight="1">
      <c r="A18" s="17"/>
      <c r="B18" s="17"/>
      <c r="C18" s="17"/>
      <c r="D18" s="17"/>
      <c r="E18" t="s" s="13">
        <v>1716</v>
      </c>
      <c r="F18" t="s" s="13">
        <v>1721</v>
      </c>
      <c r="G18" s="17"/>
      <c r="H18" s="17"/>
      <c r="I18" s="29">
        <v>1</v>
      </c>
      <c r="J18" s="17"/>
      <c r="K18" s="17"/>
      <c r="L18" s="17"/>
      <c r="M18" s="35">
        <v>1</v>
      </c>
      <c r="N18" s="36"/>
      <c r="O18" s="36"/>
      <c r="P18" s="36"/>
      <c r="Q18" t="s" s="47">
        <v>1722</v>
      </c>
      <c r="R18" s="36"/>
      <c r="S18" s="35">
        <v>1</v>
      </c>
      <c r="T18" s="36"/>
      <c r="U18" s="17"/>
      <c r="V18" s="36"/>
      <c r="W18" s="36"/>
      <c r="X18" s="17"/>
      <c r="Y18" s="17"/>
      <c r="Z18" s="17"/>
      <c r="AA18" s="17"/>
      <c r="AB18" s="17"/>
      <c r="AC18" s="29">
        <v>1</v>
      </c>
      <c r="AD18" s="17"/>
      <c r="AE18" s="17"/>
      <c r="AF18" s="8"/>
      <c r="AG18" s="17"/>
      <c r="AH18" s="17"/>
      <c r="AI18" s="17"/>
      <c r="AJ18" s="17"/>
      <c r="AK18" s="17"/>
      <c r="AL18" s="17"/>
      <c r="AM18" s="17"/>
      <c r="AN18" s="17"/>
      <c r="AO18" s="17"/>
      <c r="AP18" s="17"/>
      <c r="AQ18" s="17"/>
      <c r="AR18" s="17"/>
      <c r="AS18" s="17"/>
      <c r="AT18" s="17"/>
      <c r="AU18" s="17"/>
      <c r="AV18" s="17"/>
      <c r="AW18" s="17"/>
      <c r="AX18" s="17"/>
      <c r="AY18" s="17"/>
    </row>
    <row r="19" ht="17.45" customHeight="1">
      <c r="A19" s="17"/>
      <c r="B19" s="17"/>
      <c r="C19" s="17"/>
      <c r="D19" s="17"/>
      <c r="E19" t="s" s="13">
        <v>59</v>
      </c>
      <c r="F19" t="s" s="13">
        <v>879</v>
      </c>
      <c r="G19" s="17"/>
      <c r="H19" s="17"/>
      <c r="I19" s="17"/>
      <c r="J19" s="29">
        <v>1</v>
      </c>
      <c r="K19" s="17"/>
      <c r="L19" s="17"/>
      <c r="M19" s="17"/>
      <c r="N19" s="17"/>
      <c r="O19" t="s" s="13">
        <v>1723</v>
      </c>
      <c r="P19" s="17"/>
      <c r="Q19" s="29">
        <v>12</v>
      </c>
      <c r="R19" s="17"/>
      <c r="S19" s="35">
        <v>1</v>
      </c>
      <c r="T19" s="17"/>
      <c r="U19" s="17"/>
      <c r="V19" s="17"/>
      <c r="W19" s="17"/>
      <c r="X19" t="s" s="13">
        <v>246</v>
      </c>
      <c r="Y19" s="17"/>
      <c r="Z19" s="17"/>
      <c r="AA19" s="17"/>
      <c r="AB19" s="17"/>
      <c r="AC19" s="17"/>
      <c r="AD19" t="s" s="13">
        <v>1719</v>
      </c>
      <c r="AE19" s="17"/>
      <c r="AF19" s="8"/>
      <c r="AG19" s="17"/>
      <c r="AH19" s="17"/>
      <c r="AI19" s="17"/>
      <c r="AJ19" s="17"/>
      <c r="AK19" s="17"/>
      <c r="AL19" s="17"/>
      <c r="AM19" s="17"/>
      <c r="AN19" s="17"/>
      <c r="AO19" s="17"/>
      <c r="AP19" s="17"/>
      <c r="AQ19" s="17"/>
      <c r="AR19" s="17"/>
      <c r="AS19" s="17"/>
      <c r="AT19" s="17"/>
      <c r="AU19" s="17"/>
      <c r="AV19" s="17"/>
      <c r="AW19" s="17"/>
      <c r="AX19" s="17"/>
      <c r="AY19" s="17"/>
    </row>
    <row r="20" ht="17.45" customHeight="1">
      <c r="A20" s="17"/>
      <c r="B20" s="17"/>
      <c r="C20" s="17"/>
      <c r="D20" s="17"/>
      <c r="E20" t="s" s="13">
        <v>59</v>
      </c>
      <c r="F20" t="s" s="13">
        <v>1724</v>
      </c>
      <c r="G20" s="17"/>
      <c r="H20" s="17"/>
      <c r="I20" s="17"/>
      <c r="J20" s="29">
        <v>1</v>
      </c>
      <c r="K20" s="17"/>
      <c r="L20" s="17"/>
      <c r="M20" s="17"/>
      <c r="N20" s="17"/>
      <c r="O20" t="s" s="13">
        <v>1723</v>
      </c>
      <c r="P20" s="17"/>
      <c r="Q20" s="29">
        <v>10</v>
      </c>
      <c r="R20" s="17"/>
      <c r="S20" s="35">
        <v>1</v>
      </c>
      <c r="T20" s="17"/>
      <c r="U20" s="17"/>
      <c r="V20" s="17"/>
      <c r="W20" s="17"/>
      <c r="X20" t="s" s="13">
        <v>246</v>
      </c>
      <c r="Y20" s="17"/>
      <c r="Z20" s="17"/>
      <c r="AA20" s="17"/>
      <c r="AB20" s="17"/>
      <c r="AC20" s="17"/>
      <c r="AD20" t="s" s="13">
        <v>1719</v>
      </c>
      <c r="AE20" s="17"/>
      <c r="AF20" s="8"/>
      <c r="AG20" s="17"/>
      <c r="AH20" s="17"/>
      <c r="AI20" s="17"/>
      <c r="AJ20" s="17"/>
      <c r="AK20" s="17"/>
      <c r="AL20" s="17"/>
      <c r="AM20" s="17"/>
      <c r="AN20" s="17"/>
      <c r="AO20" s="17"/>
      <c r="AP20" s="17"/>
      <c r="AQ20" s="17"/>
      <c r="AR20" s="17"/>
      <c r="AS20" s="17"/>
      <c r="AT20" s="17"/>
      <c r="AU20" s="17"/>
      <c r="AV20" s="17"/>
      <c r="AW20" s="17"/>
      <c r="AX20" s="17"/>
      <c r="AY20" s="17"/>
    </row>
    <row r="21" ht="17" customHeight="1">
      <c r="A21" s="17"/>
      <c r="B21" s="17"/>
      <c r="C21" s="17"/>
      <c r="D21" s="17"/>
      <c r="E21" t="s" s="13">
        <v>1725</v>
      </c>
      <c r="F21" t="s" s="13">
        <v>1168</v>
      </c>
      <c r="G21" s="29">
        <v>1</v>
      </c>
      <c r="H21" s="17"/>
      <c r="I21" s="17"/>
      <c r="J21" s="17"/>
      <c r="K21" s="17"/>
      <c r="L21" s="17"/>
      <c r="M21" s="17"/>
      <c r="N21" s="17"/>
      <c r="O21" s="17"/>
      <c r="P21" s="29">
        <v>1</v>
      </c>
      <c r="Q21" s="29">
        <v>20</v>
      </c>
      <c r="R21" s="17"/>
      <c r="S21" s="29">
        <v>1</v>
      </c>
      <c r="T21" s="17"/>
      <c r="U21" s="17"/>
      <c r="V21" s="17"/>
      <c r="W21" s="17"/>
      <c r="X21" t="s" s="13">
        <v>1726</v>
      </c>
      <c r="Y21" s="17"/>
      <c r="Z21" s="29">
        <v>1</v>
      </c>
      <c r="AA21" s="17"/>
      <c r="AB21" s="17"/>
      <c r="AC21" s="17"/>
      <c r="AD21" t="s" s="13">
        <v>240</v>
      </c>
      <c r="AE21" s="17"/>
      <c r="AF21" s="8"/>
      <c r="AG21" s="17"/>
      <c r="AH21" s="17"/>
      <c r="AI21" s="17"/>
      <c r="AJ21" s="17"/>
      <c r="AK21" s="17"/>
      <c r="AL21" s="17"/>
      <c r="AM21" s="17"/>
      <c r="AN21" s="17"/>
      <c r="AO21" s="17"/>
      <c r="AP21" s="17"/>
      <c r="AQ21" s="17"/>
      <c r="AR21" s="17"/>
      <c r="AS21" s="17"/>
      <c r="AT21" s="17"/>
      <c r="AU21" s="17"/>
      <c r="AV21" s="17"/>
      <c r="AW21" s="17"/>
      <c r="AX21" s="17"/>
      <c r="AY21" s="17"/>
    </row>
    <row r="22" ht="17"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8"/>
      <c r="AG22" s="17"/>
      <c r="AH22" s="17"/>
      <c r="AI22" s="17"/>
      <c r="AJ22" s="17"/>
      <c r="AK22" s="17"/>
      <c r="AL22" s="17"/>
      <c r="AM22" s="17"/>
      <c r="AN22" s="17"/>
      <c r="AO22" s="17"/>
      <c r="AP22" s="17"/>
      <c r="AQ22" s="17"/>
      <c r="AR22" s="17"/>
      <c r="AS22" s="17"/>
      <c r="AT22" s="17"/>
      <c r="AU22" s="17"/>
      <c r="AV22" s="17"/>
      <c r="AW22" s="17"/>
      <c r="AX22" s="17"/>
      <c r="AY22" s="17"/>
    </row>
    <row r="23" ht="17" customHeight="1">
      <c r="A23" t="s" s="13">
        <v>285</v>
      </c>
      <c r="B23" s="29">
        <v>4</v>
      </c>
      <c r="C23" s="17"/>
      <c r="D23" s="17"/>
      <c r="E23" s="29">
        <v>9</v>
      </c>
      <c r="F23" s="29">
        <v>19</v>
      </c>
      <c r="G23" s="29">
        <f>SUM(G1:G22)</f>
        <v>8</v>
      </c>
      <c r="H23" s="29">
        <f>SUM(H1:H22)</f>
        <v>5</v>
      </c>
      <c r="I23" s="29">
        <f>SUM(I1:I22)</f>
        <v>3</v>
      </c>
      <c r="J23" s="29">
        <f>SUM(J1:J22)</f>
        <v>3</v>
      </c>
      <c r="K23" s="29">
        <f>SUM(K1:K22)</f>
        <v>4</v>
      </c>
      <c r="L23" s="29">
        <f>SUM(L1:L22)</f>
        <v>2</v>
      </c>
      <c r="M23" s="29">
        <f>SUM(M1:M22)</f>
        <v>4</v>
      </c>
      <c r="N23" s="29">
        <f>SUM(N1:N22)</f>
        <v>2</v>
      </c>
      <c r="O23" s="29">
        <v>5</v>
      </c>
      <c r="P23" s="29">
        <f>SUM(P1:P22)</f>
        <v>2</v>
      </c>
      <c r="Q23" s="29">
        <f>SUM(Q1:Q22)</f>
        <v>559</v>
      </c>
      <c r="R23" s="29">
        <f>SUM(R1:R22)</f>
        <v>5</v>
      </c>
      <c r="S23" s="29">
        <f>SUM(S1:S22)</f>
        <v>11</v>
      </c>
      <c r="T23" s="29">
        <f>SUM(T1:T22)</f>
        <v>3</v>
      </c>
      <c r="U23" s="29">
        <f>SUM(U1:U22)</f>
        <v>71</v>
      </c>
      <c r="V23" s="29">
        <f>SUM(V1:V22)</f>
        <v>20</v>
      </c>
      <c r="W23" s="29">
        <f>SUM(W1:W22)</f>
        <v>15</v>
      </c>
      <c r="X23" s="29">
        <f>SUM(X1:X22)</f>
        <v>0</v>
      </c>
      <c r="Y23" s="29">
        <f>SUM(Y1:Y22)</f>
        <v>0</v>
      </c>
      <c r="Z23" s="29">
        <f>SUM(Z1:Z22)</f>
        <v>8</v>
      </c>
      <c r="AA23" s="29">
        <f>SUM(AA1:AA22)</f>
        <v>2</v>
      </c>
      <c r="AB23" s="29">
        <f>SUM(AB1:AB22)</f>
        <v>3</v>
      </c>
      <c r="AC23" s="29">
        <f>SUM(AC1:AC22)</f>
        <v>7</v>
      </c>
      <c r="AD23" s="29">
        <v>12</v>
      </c>
      <c r="AE23" s="17"/>
      <c r="AF23" s="8"/>
      <c r="AG23" s="17"/>
      <c r="AH23" s="17"/>
      <c r="AI23" s="17"/>
      <c r="AJ23" s="17"/>
      <c r="AK23" s="17"/>
      <c r="AL23" s="17"/>
      <c r="AM23" s="17"/>
      <c r="AN23" s="17"/>
      <c r="AO23" s="17"/>
      <c r="AP23" s="17"/>
      <c r="AQ23" s="17"/>
      <c r="AR23" s="17"/>
      <c r="AS23" s="17"/>
      <c r="AT23" s="17"/>
      <c r="AU23" s="17"/>
      <c r="AV23" s="17"/>
      <c r="AW23" s="17"/>
      <c r="AX23" s="17"/>
      <c r="AY23" s="17"/>
    </row>
    <row r="24" ht="17"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29">
        <f>F23-AC23</f>
        <v>12</v>
      </c>
      <c r="AD24" s="17"/>
      <c r="AE24" s="17"/>
      <c r="AF24" s="8"/>
      <c r="AG24" s="17"/>
      <c r="AH24" s="17"/>
      <c r="AI24" s="17"/>
      <c r="AJ24" s="17"/>
      <c r="AK24" s="17"/>
      <c r="AL24" s="17"/>
      <c r="AM24" s="17"/>
      <c r="AN24" s="17"/>
      <c r="AO24" s="17"/>
      <c r="AP24" s="17"/>
      <c r="AQ24" s="17"/>
      <c r="AR24" s="17"/>
      <c r="AS24" s="17"/>
      <c r="AT24" s="17"/>
      <c r="AU24" s="17"/>
      <c r="AV24" s="17"/>
      <c r="AW24" s="17"/>
      <c r="AX24" s="17"/>
      <c r="AY24" s="17"/>
    </row>
    <row r="25" ht="17.45" customHeight="1">
      <c r="A25" s="17"/>
      <c r="B25" s="17"/>
      <c r="C25" s="17"/>
      <c r="D25" s="17"/>
      <c r="E25" s="17"/>
      <c r="F25" s="17"/>
      <c r="G25" s="29">
        <f>G23+H23+I23+J23</f>
        <v>19</v>
      </c>
      <c r="H25" s="17"/>
      <c r="I25" s="17"/>
      <c r="J25" s="17"/>
      <c r="K25" s="29">
        <f>K23+L23+M23+N23+O23+P23</f>
        <v>19</v>
      </c>
      <c r="L25" s="17"/>
      <c r="M25" s="36"/>
      <c r="N25" s="36"/>
      <c r="O25" s="36"/>
      <c r="P25" s="36"/>
      <c r="Q25" s="35">
        <f>Q23/K25</f>
        <v>29.4210526315789</v>
      </c>
      <c r="R25" s="36"/>
      <c r="S25" s="36"/>
      <c r="T25" s="36"/>
      <c r="U25" s="17"/>
      <c r="V25" s="17"/>
      <c r="W25" s="17"/>
      <c r="X25" s="17"/>
      <c r="Y25" s="17"/>
      <c r="Z25" s="17"/>
      <c r="AA25" s="17"/>
      <c r="AB25" s="17"/>
      <c r="AC25" s="17"/>
      <c r="AD25" s="17"/>
      <c r="AE25" s="17"/>
      <c r="AF25" s="8"/>
      <c r="AG25" s="17"/>
      <c r="AH25" s="17"/>
      <c r="AI25" s="17"/>
      <c r="AJ25" s="17"/>
      <c r="AK25" s="17"/>
      <c r="AL25" s="17"/>
      <c r="AM25" s="17"/>
      <c r="AN25" s="17"/>
      <c r="AO25" s="17"/>
      <c r="AP25" s="17"/>
      <c r="AQ25" s="17"/>
      <c r="AR25" s="17"/>
      <c r="AS25" s="17"/>
      <c r="AT25" s="17"/>
      <c r="AU25" s="17"/>
      <c r="AV25" s="17"/>
      <c r="AW25" s="17"/>
      <c r="AX25" s="17"/>
      <c r="AY25" s="17"/>
    </row>
    <row r="26" ht="17.45" customHeight="1">
      <c r="A26" s="17"/>
      <c r="B26" s="17"/>
      <c r="C26" s="17"/>
      <c r="D26" s="17"/>
      <c r="E26" s="17"/>
      <c r="F26" s="17"/>
      <c r="G26" s="17"/>
      <c r="H26" s="17"/>
      <c r="I26" s="17"/>
      <c r="J26" s="17"/>
      <c r="K26" s="17"/>
      <c r="L26" s="17"/>
      <c r="M26" s="36"/>
      <c r="N26" s="36"/>
      <c r="O26" s="36"/>
      <c r="P26" s="36"/>
      <c r="Q26" s="17"/>
      <c r="R26" s="36"/>
      <c r="S26" s="36"/>
      <c r="T26" s="17"/>
      <c r="U26" s="17"/>
      <c r="V26" s="17"/>
      <c r="W26" s="17"/>
      <c r="X26" s="17"/>
      <c r="Y26" s="17"/>
      <c r="Z26" s="17"/>
      <c r="AA26" s="17"/>
      <c r="AB26" s="17"/>
      <c r="AC26" s="17"/>
      <c r="AD26" s="17"/>
      <c r="AE26" s="17"/>
      <c r="AF26" s="8"/>
      <c r="AG26" s="17"/>
      <c r="AH26" s="17"/>
      <c r="AI26" s="17"/>
      <c r="AJ26" s="17"/>
      <c r="AK26" s="17"/>
      <c r="AL26" s="17"/>
      <c r="AM26" s="17"/>
      <c r="AN26" s="17"/>
      <c r="AO26" s="17"/>
      <c r="AP26" s="17"/>
      <c r="AQ26" s="17"/>
      <c r="AR26" s="17"/>
      <c r="AS26" s="17"/>
      <c r="AT26" s="17"/>
      <c r="AU26" s="17"/>
      <c r="AV26" s="17"/>
      <c r="AW26" s="17"/>
      <c r="AX26" s="17"/>
      <c r="AY26" s="17"/>
    </row>
    <row r="27" ht="17.45" customHeight="1">
      <c r="A27" s="17"/>
      <c r="B27" s="17"/>
      <c r="C27" s="17"/>
      <c r="D27" s="17"/>
      <c r="E27" s="17"/>
      <c r="F27" s="17"/>
      <c r="G27" s="17"/>
      <c r="H27" s="17"/>
      <c r="I27" s="17"/>
      <c r="J27" s="17"/>
      <c r="K27" s="17"/>
      <c r="L27" s="17"/>
      <c r="M27" s="36"/>
      <c r="N27" s="36"/>
      <c r="O27" s="36"/>
      <c r="P27" s="36"/>
      <c r="Q27" s="36"/>
      <c r="R27" s="36"/>
      <c r="S27" s="36"/>
      <c r="T27" s="17"/>
      <c r="U27" s="17"/>
      <c r="V27" s="17"/>
      <c r="W27" s="17"/>
      <c r="X27" s="17"/>
      <c r="Y27" s="17"/>
      <c r="Z27" s="17"/>
      <c r="AA27" s="17"/>
      <c r="AB27" s="17"/>
      <c r="AC27" s="17"/>
      <c r="AD27" s="17"/>
      <c r="AE27" s="17"/>
      <c r="AF27" s="8"/>
      <c r="AG27" s="17"/>
      <c r="AH27" s="17"/>
      <c r="AI27" s="17"/>
      <c r="AJ27" s="17"/>
      <c r="AK27" s="17"/>
      <c r="AL27" s="17"/>
      <c r="AM27" s="17"/>
      <c r="AN27" s="17"/>
      <c r="AO27" s="17"/>
      <c r="AP27" s="17"/>
      <c r="AQ27" s="17"/>
      <c r="AR27" s="17"/>
      <c r="AS27" s="17"/>
      <c r="AT27" s="17"/>
      <c r="AU27" s="17"/>
      <c r="AV27" s="17"/>
      <c r="AW27" s="17"/>
      <c r="AX27" s="17"/>
      <c r="AY27" s="17"/>
    </row>
    <row r="28" ht="17.45" customHeight="1">
      <c r="A28" s="17"/>
      <c r="B28" s="17"/>
      <c r="C28" s="17"/>
      <c r="D28" s="17"/>
      <c r="E28" s="17"/>
      <c r="F28" s="17"/>
      <c r="G28" s="17"/>
      <c r="H28" s="17"/>
      <c r="I28" s="17"/>
      <c r="J28" s="17"/>
      <c r="K28" s="17"/>
      <c r="L28" s="17"/>
      <c r="M28" s="36"/>
      <c r="N28" s="36"/>
      <c r="O28" s="36"/>
      <c r="P28" s="36"/>
      <c r="Q28" s="36"/>
      <c r="R28" s="36"/>
      <c r="S28" s="36"/>
      <c r="T28" s="17"/>
      <c r="U28" s="36"/>
      <c r="V28" s="36"/>
      <c r="W28" s="36"/>
      <c r="X28" s="17"/>
      <c r="Y28" s="17"/>
      <c r="Z28" s="17"/>
      <c r="AA28" s="17"/>
      <c r="AB28" s="17"/>
      <c r="AC28" s="17"/>
      <c r="AD28" s="17"/>
      <c r="AE28" s="17"/>
      <c r="AF28" s="8"/>
      <c r="AG28" s="17"/>
      <c r="AH28" s="17"/>
      <c r="AI28" s="17"/>
      <c r="AJ28" s="17"/>
      <c r="AK28" s="17"/>
      <c r="AL28" s="17"/>
      <c r="AM28" s="17"/>
      <c r="AN28" s="17"/>
      <c r="AO28" s="17"/>
      <c r="AP28" s="17"/>
      <c r="AQ28" s="17"/>
      <c r="AR28" s="17"/>
      <c r="AS28" s="17"/>
      <c r="AT28" s="17"/>
      <c r="AU28" s="17"/>
      <c r="AV28" s="17"/>
      <c r="AW28" s="17"/>
      <c r="AX28" s="17"/>
      <c r="AY28" s="17"/>
    </row>
    <row r="29" ht="17.45" customHeight="1">
      <c r="A29" s="17"/>
      <c r="B29" s="17"/>
      <c r="C29" s="17"/>
      <c r="D29" s="17"/>
      <c r="E29" s="17"/>
      <c r="F29" s="17"/>
      <c r="G29" s="17"/>
      <c r="H29" s="17"/>
      <c r="I29" s="17"/>
      <c r="J29" s="17"/>
      <c r="K29" s="17"/>
      <c r="L29" s="17"/>
      <c r="M29" s="36"/>
      <c r="N29" s="36"/>
      <c r="O29" s="36"/>
      <c r="P29" s="36"/>
      <c r="Q29" s="17"/>
      <c r="R29" s="36"/>
      <c r="S29" s="36"/>
      <c r="T29" s="17"/>
      <c r="U29" s="36"/>
      <c r="V29" s="36"/>
      <c r="W29" s="36"/>
      <c r="X29" s="17"/>
      <c r="Y29" s="17"/>
      <c r="Z29" s="17"/>
      <c r="AA29" s="17"/>
      <c r="AB29" s="17"/>
      <c r="AC29" s="17"/>
      <c r="AD29" s="17"/>
      <c r="AE29" s="17"/>
      <c r="AF29" s="8"/>
      <c r="AG29" s="17"/>
      <c r="AH29" s="17"/>
      <c r="AI29" s="17"/>
      <c r="AJ29" s="17"/>
      <c r="AK29" s="17"/>
      <c r="AL29" s="17"/>
      <c r="AM29" s="17"/>
      <c r="AN29" s="17"/>
      <c r="AO29" s="17"/>
      <c r="AP29" s="17"/>
      <c r="AQ29" s="17"/>
      <c r="AR29" s="17"/>
      <c r="AS29" s="17"/>
      <c r="AT29" s="17"/>
      <c r="AU29" s="17"/>
      <c r="AV29" s="17"/>
      <c r="AW29" s="17"/>
      <c r="AX29" s="17"/>
      <c r="AY29" s="17"/>
    </row>
    <row r="30" ht="17.45" customHeight="1">
      <c r="A30" s="17"/>
      <c r="B30" s="17"/>
      <c r="C30" s="17"/>
      <c r="D30" s="17"/>
      <c r="E30" s="17"/>
      <c r="F30" s="17"/>
      <c r="G30" s="17"/>
      <c r="H30" s="17"/>
      <c r="I30" s="17"/>
      <c r="J30" s="17"/>
      <c r="K30" s="17"/>
      <c r="L30" s="17"/>
      <c r="M30" s="36"/>
      <c r="N30" s="36"/>
      <c r="O30" s="36"/>
      <c r="P30" s="36"/>
      <c r="Q30" s="17"/>
      <c r="R30" s="36"/>
      <c r="S30" s="36"/>
      <c r="T30" s="17"/>
      <c r="U30" s="36"/>
      <c r="V30" s="36"/>
      <c r="W30" s="36"/>
      <c r="X30" s="17"/>
      <c r="Y30" s="17"/>
      <c r="Z30" s="17"/>
      <c r="AA30" s="17"/>
      <c r="AB30" s="17"/>
      <c r="AC30" s="17"/>
      <c r="AD30" s="17"/>
      <c r="AE30" s="17"/>
      <c r="AF30" s="8"/>
      <c r="AG30" s="17"/>
      <c r="AH30" s="17"/>
      <c r="AI30" s="17"/>
      <c r="AJ30" s="17"/>
      <c r="AK30" s="17"/>
      <c r="AL30" s="17"/>
      <c r="AM30" s="17"/>
      <c r="AN30" s="17"/>
      <c r="AO30" s="17"/>
      <c r="AP30" s="17"/>
      <c r="AQ30" s="17"/>
      <c r="AR30" s="17"/>
      <c r="AS30" s="17"/>
      <c r="AT30" s="17"/>
      <c r="AU30" s="17"/>
      <c r="AV30" s="17"/>
      <c r="AW30" s="17"/>
      <c r="AX30" s="17"/>
      <c r="AY30" s="17"/>
    </row>
    <row r="31" ht="17.45" customHeight="1">
      <c r="A31" s="17"/>
      <c r="B31" s="17"/>
      <c r="C31" s="17"/>
      <c r="D31" s="17"/>
      <c r="E31" s="17"/>
      <c r="F31" s="17"/>
      <c r="G31" s="17"/>
      <c r="H31" s="17"/>
      <c r="I31" s="17"/>
      <c r="J31" s="17"/>
      <c r="K31" s="17"/>
      <c r="L31" s="17"/>
      <c r="M31" s="36"/>
      <c r="N31" s="36"/>
      <c r="O31" s="36"/>
      <c r="P31" s="36"/>
      <c r="Q31" s="17"/>
      <c r="R31" s="36"/>
      <c r="S31" s="36"/>
      <c r="T31" s="17"/>
      <c r="U31" s="36"/>
      <c r="V31" s="36"/>
      <c r="W31" s="36"/>
      <c r="X31" s="17"/>
      <c r="Y31" s="17"/>
      <c r="Z31" s="17"/>
      <c r="AA31" s="17"/>
      <c r="AB31" s="17"/>
      <c r="AC31" s="17"/>
      <c r="AD31" s="17"/>
      <c r="AE31" s="17"/>
      <c r="AF31" s="8"/>
      <c r="AG31" s="17"/>
      <c r="AH31" s="17"/>
      <c r="AI31" s="17"/>
      <c r="AJ31" s="17"/>
      <c r="AK31" s="17"/>
      <c r="AL31" s="17"/>
      <c r="AM31" s="17"/>
      <c r="AN31" s="17"/>
      <c r="AO31" s="17"/>
      <c r="AP31" s="17"/>
      <c r="AQ31" s="17"/>
      <c r="AR31" s="17"/>
      <c r="AS31" s="17"/>
      <c r="AT31" s="17"/>
      <c r="AU31" s="17"/>
      <c r="AV31" s="17"/>
      <c r="AW31" s="17"/>
      <c r="AX31" s="17"/>
      <c r="AY31" s="17"/>
    </row>
    <row r="32" ht="17.45" customHeight="1">
      <c r="A32" s="17"/>
      <c r="B32" s="17"/>
      <c r="C32" s="17"/>
      <c r="D32" s="17"/>
      <c r="E32" s="17"/>
      <c r="F32" s="17"/>
      <c r="G32" s="17"/>
      <c r="H32" s="17"/>
      <c r="I32" s="17"/>
      <c r="J32" s="17"/>
      <c r="K32" s="17"/>
      <c r="L32" s="17"/>
      <c r="M32" s="36"/>
      <c r="N32" s="36"/>
      <c r="O32" s="36"/>
      <c r="P32" s="36"/>
      <c r="Q32" s="17"/>
      <c r="R32" s="36"/>
      <c r="S32" s="36"/>
      <c r="T32" s="17"/>
      <c r="U32" s="36"/>
      <c r="V32" s="36"/>
      <c r="W32" s="36"/>
      <c r="X32" s="17"/>
      <c r="Y32" s="17"/>
      <c r="Z32" s="17"/>
      <c r="AA32" s="17"/>
      <c r="AB32" s="17"/>
      <c r="AC32" s="17"/>
      <c r="AD32" s="17"/>
      <c r="AE32" s="17"/>
      <c r="AF32" s="8"/>
      <c r="AG32" s="17"/>
      <c r="AH32" s="17"/>
      <c r="AI32" s="17"/>
      <c r="AJ32" s="17"/>
      <c r="AK32" s="17"/>
      <c r="AL32" s="17"/>
      <c r="AM32" s="17"/>
      <c r="AN32" s="17"/>
      <c r="AO32" s="17"/>
      <c r="AP32" s="17"/>
      <c r="AQ32" s="17"/>
      <c r="AR32" s="17"/>
      <c r="AS32" s="17"/>
      <c r="AT32" s="17"/>
      <c r="AU32" s="17"/>
      <c r="AV32" s="17"/>
      <c r="AW32" s="17"/>
      <c r="AX32" s="17"/>
      <c r="AY32" s="17"/>
    </row>
    <row r="33" ht="17"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8"/>
      <c r="AG33" s="17"/>
      <c r="AH33" s="17"/>
      <c r="AI33" s="17"/>
      <c r="AJ33" s="17"/>
      <c r="AK33" s="17"/>
      <c r="AL33" s="17"/>
      <c r="AM33" s="17"/>
      <c r="AN33" s="17"/>
      <c r="AO33" s="17"/>
      <c r="AP33" s="17"/>
      <c r="AQ33" s="17"/>
      <c r="AR33" s="17"/>
      <c r="AS33" s="17"/>
      <c r="AT33" s="17"/>
      <c r="AU33" s="17"/>
      <c r="AV33" s="17"/>
      <c r="AW33" s="17"/>
      <c r="AX33" s="17"/>
      <c r="AY33" s="17"/>
    </row>
    <row r="34" ht="17.45" customHeight="1">
      <c r="A34" s="17"/>
      <c r="B34" s="17"/>
      <c r="C34" s="17"/>
      <c r="D34" s="17"/>
      <c r="E34" s="17"/>
      <c r="F34" s="17"/>
      <c r="G34" s="17"/>
      <c r="H34" s="17"/>
      <c r="I34" s="17"/>
      <c r="J34" s="17"/>
      <c r="K34" s="17"/>
      <c r="L34" s="17"/>
      <c r="M34" s="36"/>
      <c r="N34" s="36"/>
      <c r="O34" s="36"/>
      <c r="P34" s="36"/>
      <c r="Q34" s="17"/>
      <c r="R34" s="36"/>
      <c r="S34" s="36"/>
      <c r="T34" s="116"/>
      <c r="U34" s="36"/>
      <c r="V34" s="17"/>
      <c r="W34" s="17"/>
      <c r="X34" s="17"/>
      <c r="Y34" s="17"/>
      <c r="Z34" s="17"/>
      <c r="AA34" s="17"/>
      <c r="AB34" s="17"/>
      <c r="AC34" s="17"/>
      <c r="AD34" s="17"/>
      <c r="AE34" s="17"/>
      <c r="AF34" s="8"/>
      <c r="AG34" s="17"/>
      <c r="AH34" s="17"/>
      <c r="AI34" s="17"/>
      <c r="AJ34" s="17"/>
      <c r="AK34" s="17"/>
      <c r="AL34" s="17"/>
      <c r="AM34" s="17"/>
      <c r="AN34" s="17"/>
      <c r="AO34" s="17"/>
      <c r="AP34" s="17"/>
      <c r="AQ34" s="17"/>
      <c r="AR34" s="17"/>
      <c r="AS34" s="17"/>
      <c r="AT34" s="17"/>
      <c r="AU34" s="17"/>
      <c r="AV34" s="17"/>
      <c r="AW34" s="17"/>
      <c r="AX34" s="17"/>
      <c r="AY34" s="17"/>
    </row>
    <row r="35" ht="17.45" customHeight="1">
      <c r="A35" s="17"/>
      <c r="B35" s="17"/>
      <c r="C35" s="17"/>
      <c r="D35" s="17"/>
      <c r="E35" s="17"/>
      <c r="F35" s="17"/>
      <c r="G35" s="17"/>
      <c r="H35" s="17"/>
      <c r="I35" s="17"/>
      <c r="J35" s="17"/>
      <c r="K35" s="17"/>
      <c r="L35" s="17"/>
      <c r="M35" s="36"/>
      <c r="N35" s="36"/>
      <c r="O35" s="36"/>
      <c r="P35" s="36"/>
      <c r="Q35" s="17"/>
      <c r="R35" s="36"/>
      <c r="S35" s="36"/>
      <c r="T35" s="17"/>
      <c r="U35" s="36"/>
      <c r="V35" s="17"/>
      <c r="W35" s="17"/>
      <c r="X35" s="17"/>
      <c r="Y35" s="17"/>
      <c r="Z35" s="17"/>
      <c r="AA35" s="17"/>
      <c r="AB35" s="17"/>
      <c r="AC35" s="17"/>
      <c r="AD35" s="17"/>
      <c r="AE35" s="17"/>
      <c r="AF35" s="8"/>
      <c r="AG35" s="17"/>
      <c r="AH35" s="17"/>
      <c r="AI35" s="17"/>
      <c r="AJ35" s="17"/>
      <c r="AK35" s="17"/>
      <c r="AL35" s="17"/>
      <c r="AM35" s="17"/>
      <c r="AN35" s="17"/>
      <c r="AO35" s="17"/>
      <c r="AP35" s="17"/>
      <c r="AQ35" s="17"/>
      <c r="AR35" s="17"/>
      <c r="AS35" s="17"/>
      <c r="AT35" s="17"/>
      <c r="AU35" s="17"/>
      <c r="AV35" s="17"/>
      <c r="AW35" s="17"/>
      <c r="AX35" s="17"/>
      <c r="AY35" s="17"/>
    </row>
    <row r="36" ht="17.45" customHeight="1">
      <c r="A36" s="17"/>
      <c r="B36" s="17"/>
      <c r="C36" s="17"/>
      <c r="D36" s="17"/>
      <c r="E36" s="17"/>
      <c r="F36" s="17"/>
      <c r="G36" s="17"/>
      <c r="H36" s="17"/>
      <c r="I36" s="17"/>
      <c r="J36" s="17"/>
      <c r="K36" s="17"/>
      <c r="L36" s="17"/>
      <c r="M36" s="36"/>
      <c r="N36" s="36"/>
      <c r="O36" s="36"/>
      <c r="P36" s="36"/>
      <c r="Q36" s="17"/>
      <c r="R36" s="36"/>
      <c r="S36" s="36"/>
      <c r="T36" s="17"/>
      <c r="U36" s="36"/>
      <c r="V36" s="17"/>
      <c r="W36" s="17"/>
      <c r="X36" s="17"/>
      <c r="Y36" s="17"/>
      <c r="Z36" s="17"/>
      <c r="AA36" s="17"/>
      <c r="AB36" s="17"/>
      <c r="AC36" s="17"/>
      <c r="AD36" s="17"/>
      <c r="AE36" s="17"/>
      <c r="AF36" s="8"/>
      <c r="AG36" s="17"/>
      <c r="AH36" s="17"/>
      <c r="AI36" s="17"/>
      <c r="AJ36" s="17"/>
      <c r="AK36" s="17"/>
      <c r="AL36" s="17"/>
      <c r="AM36" s="17"/>
      <c r="AN36" s="17"/>
      <c r="AO36" s="17"/>
      <c r="AP36" s="17"/>
      <c r="AQ36" s="17"/>
      <c r="AR36" s="17"/>
      <c r="AS36" s="17"/>
      <c r="AT36" s="17"/>
      <c r="AU36" s="17"/>
      <c r="AV36" s="17"/>
      <c r="AW36" s="17"/>
      <c r="AX36" s="17"/>
      <c r="AY36" s="17"/>
    </row>
    <row r="37" ht="17.45" customHeight="1">
      <c r="A37" s="17"/>
      <c r="B37" s="17"/>
      <c r="C37" s="17"/>
      <c r="D37" s="17"/>
      <c r="E37" s="17"/>
      <c r="F37" s="17"/>
      <c r="G37" s="17"/>
      <c r="H37" s="17"/>
      <c r="I37" s="17"/>
      <c r="J37" s="17"/>
      <c r="K37" s="17"/>
      <c r="L37" s="17"/>
      <c r="M37" s="36"/>
      <c r="N37" s="36"/>
      <c r="O37" s="36"/>
      <c r="P37" s="36"/>
      <c r="Q37" s="17"/>
      <c r="R37" s="36"/>
      <c r="S37" s="36"/>
      <c r="T37" s="116"/>
      <c r="U37" s="36"/>
      <c r="V37" s="17"/>
      <c r="W37" s="17"/>
      <c r="X37" s="17"/>
      <c r="Y37" s="17"/>
      <c r="Z37" s="17"/>
      <c r="AA37" s="17"/>
      <c r="AB37" s="17"/>
      <c r="AC37" s="17"/>
      <c r="AD37" s="17"/>
      <c r="AE37" s="17"/>
      <c r="AF37" s="8"/>
      <c r="AG37" s="17"/>
      <c r="AH37" s="17"/>
      <c r="AI37" s="17"/>
      <c r="AJ37" s="17"/>
      <c r="AK37" s="17"/>
      <c r="AL37" s="17"/>
      <c r="AM37" s="17"/>
      <c r="AN37" s="17"/>
      <c r="AO37" s="17"/>
      <c r="AP37" s="17"/>
      <c r="AQ37" s="17"/>
      <c r="AR37" s="17"/>
      <c r="AS37" s="17"/>
      <c r="AT37" s="17"/>
      <c r="AU37" s="17"/>
      <c r="AV37" s="17"/>
      <c r="AW37" s="17"/>
      <c r="AX37" s="17"/>
      <c r="AY37" s="17"/>
    </row>
    <row r="38" ht="17.45" customHeight="1">
      <c r="A38" s="17"/>
      <c r="B38" s="17"/>
      <c r="C38" s="17"/>
      <c r="D38" s="17"/>
      <c r="E38" s="17"/>
      <c r="F38" s="17"/>
      <c r="G38" s="17"/>
      <c r="H38" s="17"/>
      <c r="I38" s="17"/>
      <c r="J38" s="17"/>
      <c r="K38" s="17"/>
      <c r="L38" s="17"/>
      <c r="M38" s="36"/>
      <c r="N38" s="36"/>
      <c r="O38" s="36"/>
      <c r="P38" s="36"/>
      <c r="Q38" s="17"/>
      <c r="R38" s="36"/>
      <c r="S38" s="36"/>
      <c r="T38" s="17"/>
      <c r="U38" s="36"/>
      <c r="V38" s="17"/>
      <c r="W38" s="17"/>
      <c r="X38" s="17"/>
      <c r="Y38" s="17"/>
      <c r="Z38" s="17"/>
      <c r="AA38" s="17"/>
      <c r="AB38" s="17"/>
      <c r="AC38" s="17"/>
      <c r="AD38" s="17"/>
      <c r="AE38" s="17"/>
      <c r="AF38" s="8"/>
      <c r="AG38" s="17"/>
      <c r="AH38" s="17"/>
      <c r="AI38" s="17"/>
      <c r="AJ38" s="17"/>
      <c r="AK38" s="17"/>
      <c r="AL38" s="17"/>
      <c r="AM38" s="17"/>
      <c r="AN38" s="17"/>
      <c r="AO38" s="17"/>
      <c r="AP38" s="17"/>
      <c r="AQ38" s="17"/>
      <c r="AR38" s="17"/>
      <c r="AS38" s="17"/>
      <c r="AT38" s="17"/>
      <c r="AU38" s="17"/>
      <c r="AV38" s="17"/>
      <c r="AW38" s="17"/>
      <c r="AX38" s="17"/>
      <c r="AY38" s="17"/>
    </row>
    <row r="39" ht="17.45" customHeight="1">
      <c r="A39" s="17"/>
      <c r="B39" s="17"/>
      <c r="C39" s="17"/>
      <c r="D39" s="17"/>
      <c r="E39" s="17"/>
      <c r="F39" s="17"/>
      <c r="G39" s="17"/>
      <c r="H39" s="17"/>
      <c r="I39" s="17"/>
      <c r="J39" s="17"/>
      <c r="K39" s="17"/>
      <c r="L39" s="17"/>
      <c r="M39" s="36"/>
      <c r="N39" s="36"/>
      <c r="O39" s="36"/>
      <c r="P39" s="36"/>
      <c r="Q39" s="17"/>
      <c r="R39" s="36"/>
      <c r="S39" s="36"/>
      <c r="T39" s="17"/>
      <c r="U39" s="36"/>
      <c r="V39" s="17"/>
      <c r="W39" s="17"/>
      <c r="X39" s="17"/>
      <c r="Y39" s="17"/>
      <c r="Z39" s="17"/>
      <c r="AA39" s="17"/>
      <c r="AB39" s="17"/>
      <c r="AC39" s="17"/>
      <c r="AD39" s="17"/>
      <c r="AE39" s="17"/>
      <c r="AF39" s="8"/>
      <c r="AG39" s="17"/>
      <c r="AH39" s="17"/>
      <c r="AI39" s="17"/>
      <c r="AJ39" s="17"/>
      <c r="AK39" s="17"/>
      <c r="AL39" s="17"/>
      <c r="AM39" s="17"/>
      <c r="AN39" s="17"/>
      <c r="AO39" s="17"/>
      <c r="AP39" s="17"/>
      <c r="AQ39" s="17"/>
      <c r="AR39" s="17"/>
      <c r="AS39" s="17"/>
      <c r="AT39" s="17"/>
      <c r="AU39" s="17"/>
      <c r="AV39" s="17"/>
      <c r="AW39" s="17"/>
      <c r="AX39" s="17"/>
      <c r="AY39" s="17"/>
    </row>
    <row r="40" ht="17.45" customHeight="1">
      <c r="A40" s="17"/>
      <c r="B40" s="17"/>
      <c r="C40" s="17"/>
      <c r="D40" s="17"/>
      <c r="E40" s="17"/>
      <c r="F40" s="17"/>
      <c r="G40" s="17"/>
      <c r="H40" s="17"/>
      <c r="I40" s="17"/>
      <c r="J40" s="17"/>
      <c r="K40" s="17"/>
      <c r="L40" s="17"/>
      <c r="M40" s="36"/>
      <c r="N40" s="36"/>
      <c r="O40" s="36"/>
      <c r="P40" s="36"/>
      <c r="Q40" s="17"/>
      <c r="R40" s="36"/>
      <c r="S40" s="36"/>
      <c r="T40" s="17"/>
      <c r="U40" s="36"/>
      <c r="V40" s="17"/>
      <c r="W40" s="17"/>
      <c r="X40" s="17"/>
      <c r="Y40" s="17"/>
      <c r="Z40" s="17"/>
      <c r="AA40" s="17"/>
      <c r="AB40" s="17"/>
      <c r="AC40" s="17"/>
      <c r="AD40" s="17"/>
      <c r="AE40" s="17"/>
      <c r="AF40" s="8"/>
      <c r="AG40" s="17"/>
      <c r="AH40" s="17"/>
      <c r="AI40" s="17"/>
      <c r="AJ40" s="17"/>
      <c r="AK40" s="17"/>
      <c r="AL40" s="17"/>
      <c r="AM40" s="17"/>
      <c r="AN40" s="17"/>
      <c r="AO40" s="17"/>
      <c r="AP40" s="17"/>
      <c r="AQ40" s="17"/>
      <c r="AR40" s="17"/>
      <c r="AS40" s="17"/>
      <c r="AT40" s="17"/>
      <c r="AU40" s="17"/>
      <c r="AV40" s="17"/>
      <c r="AW40" s="17"/>
      <c r="AX40" s="17"/>
      <c r="AY40" s="17"/>
    </row>
    <row r="41" ht="17" customHeight="1">
      <c r="A41" s="17"/>
      <c r="B41" s="17"/>
      <c r="C41" s="17"/>
      <c r="D41" s="17"/>
      <c r="E41" s="17"/>
      <c r="F41" s="17"/>
      <c r="G41" s="17"/>
      <c r="H41" s="17"/>
      <c r="I41" s="17"/>
      <c r="J41" s="17"/>
      <c r="K41" s="17"/>
      <c r="L41" s="17"/>
      <c r="M41" s="17"/>
      <c r="N41" s="17"/>
      <c r="O41" s="17"/>
      <c r="P41" s="17"/>
      <c r="Q41" s="78"/>
      <c r="R41" s="17"/>
      <c r="S41" s="17"/>
      <c r="T41" s="17"/>
      <c r="U41" s="17"/>
      <c r="V41" s="17"/>
      <c r="W41" s="17"/>
      <c r="X41" s="17"/>
      <c r="Y41" s="17"/>
      <c r="Z41" s="17"/>
      <c r="AA41" s="17"/>
      <c r="AB41" s="17"/>
      <c r="AC41" s="17"/>
      <c r="AD41" s="17"/>
      <c r="AE41" s="17"/>
      <c r="AF41" s="8"/>
      <c r="AG41" s="17"/>
      <c r="AH41" s="17"/>
      <c r="AI41" s="17"/>
      <c r="AJ41" s="17"/>
      <c r="AK41" s="17"/>
      <c r="AL41" s="17"/>
      <c r="AM41" s="17"/>
      <c r="AN41" s="17"/>
      <c r="AO41" s="17"/>
      <c r="AP41" s="17"/>
      <c r="AQ41" s="17"/>
      <c r="AR41" s="17"/>
      <c r="AS41" s="17"/>
      <c r="AT41" s="17"/>
      <c r="AU41" s="17"/>
      <c r="AV41" s="17"/>
      <c r="AW41" s="17"/>
      <c r="AX41" s="17"/>
      <c r="AY41" s="17"/>
    </row>
    <row r="42" ht="17" customHeight="1">
      <c r="A42" s="17"/>
      <c r="B42" s="17"/>
      <c r="C42" s="17"/>
      <c r="D42" s="17"/>
      <c r="E42" s="17"/>
      <c r="F42" s="17"/>
      <c r="G42" s="79"/>
      <c r="H42" s="79"/>
      <c r="I42" s="79"/>
      <c r="J42" s="17"/>
      <c r="K42" s="17"/>
      <c r="L42" s="17"/>
      <c r="M42" s="17"/>
      <c r="N42" s="17"/>
      <c r="O42" s="17"/>
      <c r="P42" s="17"/>
      <c r="Q42" s="78"/>
      <c r="R42" s="79"/>
      <c r="S42" s="79"/>
      <c r="T42" s="79"/>
      <c r="U42" s="17"/>
      <c r="V42" s="17"/>
      <c r="W42" s="17"/>
      <c r="X42" s="17"/>
      <c r="Y42" s="17"/>
      <c r="Z42" s="17"/>
      <c r="AA42" s="17"/>
      <c r="AB42" s="17"/>
      <c r="AC42" s="17"/>
      <c r="AD42" s="17"/>
      <c r="AE42" s="17"/>
      <c r="AF42" s="8"/>
      <c r="AG42" s="17"/>
      <c r="AH42" s="17"/>
      <c r="AI42" s="17"/>
      <c r="AJ42" s="17"/>
      <c r="AK42" s="17"/>
      <c r="AL42" s="17"/>
      <c r="AM42" s="17"/>
      <c r="AN42" s="17"/>
      <c r="AO42" s="17"/>
      <c r="AP42" s="17"/>
      <c r="AQ42" s="17"/>
      <c r="AR42" s="17"/>
      <c r="AS42" s="17"/>
      <c r="AT42" s="17"/>
      <c r="AU42" s="17"/>
      <c r="AV42" s="17"/>
      <c r="AW42" s="17"/>
      <c r="AX42" s="17"/>
      <c r="AY42" s="17"/>
    </row>
    <row r="43" ht="17.45" customHeight="1">
      <c r="A43" s="17"/>
      <c r="B43" s="17"/>
      <c r="C43" s="17"/>
      <c r="D43" s="17"/>
      <c r="E43" s="17"/>
      <c r="F43" s="17"/>
      <c r="G43" s="17"/>
      <c r="H43" s="17"/>
      <c r="I43" s="17"/>
      <c r="J43" s="17"/>
      <c r="K43" s="17"/>
      <c r="L43" s="17"/>
      <c r="M43" s="17"/>
      <c r="N43" s="17"/>
      <c r="O43" s="17"/>
      <c r="P43" s="17"/>
      <c r="Q43" s="17"/>
      <c r="R43" s="36"/>
      <c r="S43" s="36"/>
      <c r="T43" s="116"/>
      <c r="U43" s="17"/>
      <c r="V43" s="17"/>
      <c r="W43" s="17"/>
      <c r="X43" s="17"/>
      <c r="Y43" s="17"/>
      <c r="Z43" s="17"/>
      <c r="AA43" s="17"/>
      <c r="AB43" s="17"/>
      <c r="AC43" s="17"/>
      <c r="AD43" s="17"/>
      <c r="AE43" s="17"/>
      <c r="AF43" s="8"/>
      <c r="AG43" s="17"/>
      <c r="AH43" s="17"/>
      <c r="AI43" s="17"/>
      <c r="AJ43" s="17"/>
      <c r="AK43" s="17"/>
      <c r="AL43" s="17"/>
      <c r="AM43" s="17"/>
      <c r="AN43" s="17"/>
      <c r="AO43" s="17"/>
      <c r="AP43" s="17"/>
      <c r="AQ43" s="17"/>
      <c r="AR43" s="17"/>
      <c r="AS43" s="17"/>
      <c r="AT43" s="17"/>
      <c r="AU43" s="17"/>
      <c r="AV43" s="17"/>
      <c r="AW43" s="17"/>
      <c r="AX43" s="17"/>
      <c r="AY43" s="17"/>
    </row>
    <row r="44" ht="17" customHeight="1">
      <c r="A44" s="17"/>
      <c r="B44" s="17"/>
      <c r="C44" s="17"/>
      <c r="D44" s="17"/>
      <c r="E44" s="17"/>
      <c r="F44" s="17"/>
      <c r="G44" s="17"/>
      <c r="H44" s="17"/>
      <c r="I44" s="17"/>
      <c r="J44" s="17"/>
      <c r="K44" s="17"/>
      <c r="L44" s="17"/>
      <c r="M44" s="17"/>
      <c r="N44" s="17"/>
      <c r="O44" s="17"/>
      <c r="P44" s="17"/>
      <c r="Q44" s="17"/>
      <c r="R44" s="79"/>
      <c r="S44" s="79"/>
      <c r="T44" s="79"/>
      <c r="U44" s="17"/>
      <c r="V44" s="17"/>
      <c r="W44" s="17"/>
      <c r="X44" s="17"/>
      <c r="Y44" s="17"/>
      <c r="Z44" s="17"/>
      <c r="AA44" s="17"/>
      <c r="AB44" s="17"/>
      <c r="AC44" s="83"/>
      <c r="AD44" s="83"/>
      <c r="AE44" s="17"/>
      <c r="AF44" s="8"/>
      <c r="AG44" s="17"/>
      <c r="AH44" s="17"/>
      <c r="AI44" s="17"/>
      <c r="AJ44" s="17"/>
      <c r="AK44" s="17"/>
      <c r="AL44" s="17"/>
      <c r="AM44" s="17"/>
      <c r="AN44" s="17"/>
      <c r="AO44" s="17"/>
      <c r="AP44" s="17"/>
      <c r="AQ44" s="17"/>
      <c r="AR44" s="17"/>
      <c r="AS44" s="17"/>
      <c r="AT44" s="17"/>
      <c r="AU44" s="17"/>
      <c r="AV44" s="17"/>
      <c r="AW44" s="17"/>
      <c r="AX44" s="17"/>
      <c r="AY44" s="17"/>
    </row>
    <row r="45" ht="17.45" customHeight="1">
      <c r="A45" s="17"/>
      <c r="B45" s="17"/>
      <c r="C45" s="17"/>
      <c r="D45" s="17"/>
      <c r="E45" s="17"/>
      <c r="F45" s="17"/>
      <c r="G45" s="17"/>
      <c r="H45" s="17"/>
      <c r="I45" s="17"/>
      <c r="J45" s="17"/>
      <c r="K45" s="17"/>
      <c r="L45" s="17"/>
      <c r="M45" s="17"/>
      <c r="N45" s="17"/>
      <c r="O45" s="17"/>
      <c r="P45" s="17"/>
      <c r="Q45" s="17"/>
      <c r="R45" s="36"/>
      <c r="S45" s="17"/>
      <c r="T45" s="17"/>
      <c r="U45" s="17"/>
      <c r="V45" s="17"/>
      <c r="W45" s="17"/>
      <c r="X45" s="17"/>
      <c r="Y45" s="17"/>
      <c r="Z45" s="17"/>
      <c r="AA45" s="17"/>
      <c r="AB45" s="17"/>
      <c r="AC45" s="17"/>
      <c r="AD45" s="17"/>
      <c r="AE45" s="17"/>
      <c r="AF45" s="8"/>
      <c r="AG45" s="17"/>
      <c r="AH45" s="17"/>
      <c r="AI45" s="17"/>
      <c r="AJ45" s="17"/>
      <c r="AK45" s="17"/>
      <c r="AL45" s="17"/>
      <c r="AM45" s="17"/>
      <c r="AN45" s="17"/>
      <c r="AO45" s="17"/>
      <c r="AP45" s="17"/>
      <c r="AQ45" s="17"/>
      <c r="AR45" s="17"/>
      <c r="AS45" s="17"/>
      <c r="AT45" s="17"/>
      <c r="AU45" s="17"/>
      <c r="AV45" s="17"/>
      <c r="AW45" s="17"/>
      <c r="AX45" s="17"/>
      <c r="AY45"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AY104"/>
  <sheetViews>
    <sheetView workbookViewId="0" showGridLines="0" defaultGridColor="1"/>
  </sheetViews>
  <sheetFormatPr defaultColWidth="10.8333" defaultRowHeight="16" customHeight="1" outlineLevelRow="0" outlineLevelCol="0"/>
  <cols>
    <col min="1" max="3" width="10.8516" style="305" customWidth="1"/>
    <col min="4" max="4" width="17.8516" style="305" customWidth="1"/>
    <col min="5" max="5" width="20.1719" style="305" customWidth="1"/>
    <col min="6" max="6" width="22.8516" style="305" customWidth="1"/>
    <col min="7" max="10" width="10.8516" style="305" customWidth="1"/>
    <col min="11" max="11" width="19.1719" style="305" customWidth="1"/>
    <col min="12" max="12" width="7.85156" style="305" customWidth="1"/>
    <col min="13" max="13" width="10" style="305" customWidth="1"/>
    <col min="14" max="14" width="8.67188" style="305" customWidth="1"/>
    <col min="15" max="15" width="18.5" style="305" customWidth="1"/>
    <col min="16" max="16" width="11.5" style="305" customWidth="1"/>
    <col min="17" max="17" width="11.6719" style="305" customWidth="1"/>
    <col min="18" max="18" width="12.3516" style="305" customWidth="1"/>
    <col min="19" max="19" width="10.8516" style="305" customWidth="1"/>
    <col min="20" max="20" width="15.1719" style="305" customWidth="1"/>
    <col min="21" max="23" width="10.8516" style="305" customWidth="1"/>
    <col min="24" max="24" width="31" style="305" customWidth="1"/>
    <col min="25" max="25" width="19.8516" style="305" customWidth="1"/>
    <col min="26" max="26" width="12.1719" style="305" customWidth="1"/>
    <col min="27" max="30" width="16.5" style="305" customWidth="1"/>
    <col min="31" max="31" width="14.6719" style="305" customWidth="1"/>
    <col min="32" max="32" width="10.8516" style="305" customWidth="1"/>
    <col min="33" max="33" width="11" style="305" customWidth="1"/>
    <col min="34" max="34" width="11.1719" style="305" customWidth="1"/>
    <col min="35" max="35" width="7.85156" style="305" customWidth="1"/>
    <col min="36" max="37" width="10.8516" style="305" customWidth="1"/>
    <col min="38" max="38" width="7.35156" style="305" customWidth="1"/>
    <col min="39" max="39" width="10.8516" style="305" customWidth="1"/>
    <col min="40" max="40" width="9.17188" style="305" customWidth="1"/>
    <col min="41" max="41" width="10.8516" style="305" customWidth="1"/>
    <col min="42" max="42" width="12.5" style="305" customWidth="1"/>
    <col min="43" max="43" width="13" style="305" customWidth="1"/>
    <col min="44" max="51" width="10.8516" style="305" customWidth="1"/>
    <col min="52" max="16384" width="10.8516" style="305" customWidth="1"/>
  </cols>
  <sheetData>
    <row r="1" ht="47" customHeight="1">
      <c r="A1" t="s" s="12">
        <v>6</v>
      </c>
      <c r="B1" t="s" s="12">
        <v>7</v>
      </c>
      <c r="C1" t="s" s="13">
        <v>8</v>
      </c>
      <c r="D1" t="s" s="14">
        <v>9</v>
      </c>
      <c r="E1" t="s" s="13">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13">
        <v>109</v>
      </c>
      <c r="AF1" t="s" s="14">
        <v>1728</v>
      </c>
      <c r="AG1" s="36"/>
      <c r="AH1" s="36"/>
      <c r="AI1" s="15"/>
      <c r="AJ1" s="15"/>
      <c r="AK1" s="17"/>
      <c r="AL1" s="15"/>
      <c r="AM1" s="15"/>
      <c r="AN1" s="15"/>
      <c r="AO1" s="17"/>
      <c r="AP1" s="36"/>
      <c r="AQ1" s="36"/>
      <c r="AR1" s="36"/>
      <c r="AS1" s="36"/>
      <c r="AT1" s="36"/>
      <c r="AU1" s="36"/>
      <c r="AV1" s="36"/>
      <c r="AW1" s="15"/>
      <c r="AX1" s="17"/>
      <c r="AY1" s="17"/>
    </row>
    <row r="2" ht="47" customHeight="1">
      <c r="A2" t="s" s="240">
        <v>119</v>
      </c>
      <c r="B2" t="s" s="241">
        <v>120</v>
      </c>
      <c r="C2" s="273"/>
      <c r="D2" s="90"/>
      <c r="E2" s="234"/>
      <c r="F2" s="90"/>
      <c r="G2" t="s" s="91">
        <v>24</v>
      </c>
      <c r="H2" t="s" s="91">
        <v>25</v>
      </c>
      <c r="I2" t="s" s="91">
        <v>26</v>
      </c>
      <c r="J2" t="s" s="244">
        <v>27</v>
      </c>
      <c r="K2" t="s" s="245">
        <v>28</v>
      </c>
      <c r="L2" t="s" s="246">
        <v>29</v>
      </c>
      <c r="M2" t="s" s="91">
        <v>30</v>
      </c>
      <c r="N2" t="s" s="91">
        <v>31</v>
      </c>
      <c r="O2" t="s" s="91">
        <v>32</v>
      </c>
      <c r="P2" t="s" s="244">
        <v>33</v>
      </c>
      <c r="Q2" t="s" s="247">
        <v>121</v>
      </c>
      <c r="R2" t="s" s="245">
        <v>122</v>
      </c>
      <c r="S2" t="s" s="245">
        <v>123</v>
      </c>
      <c r="T2" t="s" s="274">
        <v>124</v>
      </c>
      <c r="U2" s="90"/>
      <c r="V2" s="90"/>
      <c r="W2" s="90"/>
      <c r="X2" s="90"/>
      <c r="Y2" s="90"/>
      <c r="Z2" s="90"/>
      <c r="AA2" t="s" s="91">
        <v>35</v>
      </c>
      <c r="AB2" t="s" s="91">
        <v>1729</v>
      </c>
      <c r="AC2" t="s" s="91">
        <v>37</v>
      </c>
      <c r="AD2" t="s" s="275">
        <v>32</v>
      </c>
      <c r="AE2" s="234"/>
      <c r="AF2" s="243"/>
      <c r="AG2" s="17"/>
      <c r="AH2" s="17"/>
      <c r="AI2" s="17"/>
      <c r="AJ2" s="17"/>
      <c r="AK2" s="17"/>
      <c r="AL2" s="17"/>
      <c r="AM2" s="17"/>
      <c r="AN2" s="17"/>
      <c r="AO2" s="17"/>
      <c r="AP2" s="17"/>
      <c r="AQ2" s="17"/>
      <c r="AR2" s="17"/>
      <c r="AS2" s="17"/>
      <c r="AT2" s="17"/>
      <c r="AU2" s="17"/>
      <c r="AV2" s="17"/>
      <c r="AW2" s="17"/>
      <c r="AX2" s="17"/>
      <c r="AY2" s="17"/>
    </row>
    <row r="3" ht="19" customHeight="1">
      <c r="A3" t="s" s="167">
        <v>1730</v>
      </c>
      <c r="B3" s="105"/>
      <c r="C3" s="105"/>
      <c r="D3" t="s" s="167">
        <v>1731</v>
      </c>
      <c r="E3" t="s" s="167">
        <v>1732</v>
      </c>
      <c r="F3" t="s" s="176">
        <v>1733</v>
      </c>
      <c r="G3" s="98"/>
      <c r="H3" s="97">
        <v>1</v>
      </c>
      <c r="I3" s="98"/>
      <c r="J3" s="98"/>
      <c r="K3" s="97">
        <v>1</v>
      </c>
      <c r="L3" s="98"/>
      <c r="M3" s="98"/>
      <c r="N3" s="98"/>
      <c r="O3" s="98"/>
      <c r="P3" s="98"/>
      <c r="Q3" s="97">
        <v>57</v>
      </c>
      <c r="R3" s="306">
        <v>1</v>
      </c>
      <c r="S3" s="98"/>
      <c r="T3" s="98"/>
      <c r="U3" s="98"/>
      <c r="V3" s="98"/>
      <c r="W3" s="98"/>
      <c r="X3" t="s" s="176">
        <v>1734</v>
      </c>
      <c r="Y3" t="s" s="176">
        <v>178</v>
      </c>
      <c r="Z3" s="97">
        <v>1</v>
      </c>
      <c r="AA3" s="98"/>
      <c r="AB3" s="97">
        <v>1</v>
      </c>
      <c r="AC3" s="97">
        <v>1</v>
      </c>
      <c r="AD3" s="98"/>
      <c r="AE3" s="105"/>
      <c r="AF3" s="251"/>
      <c r="AG3" s="115"/>
      <c r="AH3" s="17"/>
      <c r="AI3" s="17"/>
      <c r="AJ3" s="17"/>
      <c r="AK3" s="17"/>
      <c r="AL3" s="17"/>
      <c r="AM3" s="17"/>
      <c r="AN3" s="17"/>
      <c r="AO3" s="17"/>
      <c r="AP3" s="17"/>
      <c r="AQ3" s="17"/>
      <c r="AR3" s="17"/>
      <c r="AS3" s="17"/>
      <c r="AT3" s="17"/>
      <c r="AU3" s="17"/>
      <c r="AV3" s="17"/>
      <c r="AW3" s="17"/>
      <c r="AX3" s="17"/>
      <c r="AY3" s="17"/>
    </row>
    <row r="4" ht="17.45" customHeight="1">
      <c r="A4" t="s" s="167">
        <v>1730</v>
      </c>
      <c r="B4" s="105"/>
      <c r="C4" s="105"/>
      <c r="D4" t="s" s="167">
        <v>1731</v>
      </c>
      <c r="E4" t="s" s="167">
        <v>1732</v>
      </c>
      <c r="F4" t="s" s="167">
        <v>204</v>
      </c>
      <c r="G4" s="108">
        <v>1</v>
      </c>
      <c r="H4" s="105"/>
      <c r="I4" s="105"/>
      <c r="J4" s="105"/>
      <c r="K4" s="105"/>
      <c r="L4" s="108">
        <v>1</v>
      </c>
      <c r="M4" s="254"/>
      <c r="N4" s="254"/>
      <c r="O4" s="254"/>
      <c r="P4" s="254"/>
      <c r="Q4" s="108">
        <v>46</v>
      </c>
      <c r="R4" s="307">
        <v>1</v>
      </c>
      <c r="S4" s="254"/>
      <c r="T4" s="105"/>
      <c r="U4" s="108">
        <v>18</v>
      </c>
      <c r="V4" s="108">
        <v>4</v>
      </c>
      <c r="W4" s="108">
        <v>4</v>
      </c>
      <c r="X4" t="s" s="167">
        <v>1735</v>
      </c>
      <c r="Y4" s="105"/>
      <c r="Z4" s="105"/>
      <c r="AA4" s="105"/>
      <c r="AB4" s="105"/>
      <c r="AC4" s="255">
        <v>1</v>
      </c>
      <c r="AD4" s="105"/>
      <c r="AE4" s="105"/>
      <c r="AF4" s="251"/>
      <c r="AG4" s="115"/>
      <c r="AH4" s="17"/>
      <c r="AI4" s="17"/>
      <c r="AJ4" s="17"/>
      <c r="AK4" s="17"/>
      <c r="AL4" s="17"/>
      <c r="AM4" s="17"/>
      <c r="AN4" s="17"/>
      <c r="AO4" s="17"/>
      <c r="AP4" s="17"/>
      <c r="AQ4" s="17"/>
      <c r="AR4" s="17"/>
      <c r="AS4" s="17"/>
      <c r="AT4" s="17"/>
      <c r="AU4" s="17"/>
      <c r="AV4" s="17"/>
      <c r="AW4" s="17"/>
      <c r="AX4" s="17"/>
      <c r="AY4" s="17"/>
    </row>
    <row r="5" ht="17.45" customHeight="1">
      <c r="A5" t="s" s="167">
        <v>1730</v>
      </c>
      <c r="B5" s="105"/>
      <c r="C5" s="105"/>
      <c r="D5" t="s" s="167">
        <v>1731</v>
      </c>
      <c r="E5" t="s" s="167">
        <v>1732</v>
      </c>
      <c r="F5" t="s" s="167">
        <v>326</v>
      </c>
      <c r="G5" s="108">
        <v>1</v>
      </c>
      <c r="H5" s="105"/>
      <c r="I5" s="105"/>
      <c r="J5" s="105"/>
      <c r="K5" s="105"/>
      <c r="L5" s="105"/>
      <c r="M5" s="255">
        <v>1</v>
      </c>
      <c r="N5" s="254"/>
      <c r="O5" s="254"/>
      <c r="P5" s="254"/>
      <c r="Q5" s="255">
        <v>16</v>
      </c>
      <c r="R5" s="307"/>
      <c r="S5" s="255">
        <v>1</v>
      </c>
      <c r="T5" s="254"/>
      <c r="U5" s="105"/>
      <c r="V5" s="105"/>
      <c r="W5" s="105"/>
      <c r="X5" t="s" s="167">
        <v>1736</v>
      </c>
      <c r="Y5" t="s" s="167">
        <v>1737</v>
      </c>
      <c r="Z5" s="108">
        <v>1</v>
      </c>
      <c r="AA5" s="105"/>
      <c r="AB5" s="108">
        <v>1</v>
      </c>
      <c r="AC5" s="255">
        <v>1</v>
      </c>
      <c r="AD5" s="105"/>
      <c r="AE5" s="105"/>
      <c r="AF5" s="251"/>
      <c r="AG5" s="115"/>
      <c r="AH5" s="17"/>
      <c r="AI5" s="17"/>
      <c r="AJ5" s="17"/>
      <c r="AK5" s="17"/>
      <c r="AL5" s="17"/>
      <c r="AM5" s="17"/>
      <c r="AN5" s="17"/>
      <c r="AO5" s="17"/>
      <c r="AP5" s="17"/>
      <c r="AQ5" s="17"/>
      <c r="AR5" s="17"/>
      <c r="AS5" s="17"/>
      <c r="AT5" s="17"/>
      <c r="AU5" s="17"/>
      <c r="AV5" s="17"/>
      <c r="AW5" s="17"/>
      <c r="AX5" s="17"/>
      <c r="AY5" s="17"/>
    </row>
    <row r="6" ht="17.45" customHeight="1">
      <c r="A6" t="s" s="167">
        <v>1730</v>
      </c>
      <c r="B6" s="105"/>
      <c r="C6" s="105"/>
      <c r="D6" t="s" s="167">
        <v>1731</v>
      </c>
      <c r="E6" t="s" s="167">
        <v>1732</v>
      </c>
      <c r="F6" t="s" s="167">
        <v>745</v>
      </c>
      <c r="G6" s="105"/>
      <c r="H6" s="105"/>
      <c r="I6" s="105"/>
      <c r="J6" s="108">
        <v>1</v>
      </c>
      <c r="K6" s="105"/>
      <c r="L6" s="105"/>
      <c r="M6" s="254"/>
      <c r="N6" s="255">
        <v>1</v>
      </c>
      <c r="O6" s="254"/>
      <c r="P6" s="254"/>
      <c r="Q6" s="255">
        <v>14</v>
      </c>
      <c r="R6" s="307"/>
      <c r="S6" s="255">
        <v>1</v>
      </c>
      <c r="T6" s="254"/>
      <c r="U6" s="105"/>
      <c r="V6" s="105"/>
      <c r="W6" s="105"/>
      <c r="X6" t="s" s="167">
        <v>1738</v>
      </c>
      <c r="Y6" s="105"/>
      <c r="Z6" s="108">
        <v>1</v>
      </c>
      <c r="AA6" s="105"/>
      <c r="AB6" s="108">
        <v>1</v>
      </c>
      <c r="AC6" s="255">
        <v>1</v>
      </c>
      <c r="AD6" s="105"/>
      <c r="AE6" s="105"/>
      <c r="AF6" s="251"/>
      <c r="AG6" s="115"/>
      <c r="AH6" s="17"/>
      <c r="AI6" s="17"/>
      <c r="AJ6" s="17"/>
      <c r="AK6" s="17"/>
      <c r="AL6" s="17"/>
      <c r="AM6" s="17"/>
      <c r="AN6" s="17"/>
      <c r="AO6" s="17"/>
      <c r="AP6" s="17"/>
      <c r="AQ6" s="17"/>
      <c r="AR6" s="17"/>
      <c r="AS6" s="17"/>
      <c r="AT6" s="17"/>
      <c r="AU6" s="17"/>
      <c r="AV6" s="17"/>
      <c r="AW6" s="17"/>
      <c r="AX6" s="17"/>
      <c r="AY6" s="17"/>
    </row>
    <row r="7" ht="17.45" customHeight="1">
      <c r="A7" t="s" s="167">
        <v>1730</v>
      </c>
      <c r="B7" s="105"/>
      <c r="C7" s="105"/>
      <c r="D7" t="s" s="167">
        <v>1731</v>
      </c>
      <c r="E7" t="s" s="167">
        <v>1732</v>
      </c>
      <c r="F7" t="s" s="167">
        <v>1281</v>
      </c>
      <c r="G7" s="105"/>
      <c r="H7" s="105"/>
      <c r="I7" s="108">
        <v>1</v>
      </c>
      <c r="J7" s="105"/>
      <c r="K7" s="105"/>
      <c r="L7" s="105"/>
      <c r="M7" s="255">
        <v>1</v>
      </c>
      <c r="N7" s="254"/>
      <c r="O7" s="254"/>
      <c r="P7" s="254"/>
      <c r="Q7" s="255">
        <v>13</v>
      </c>
      <c r="R7" s="307"/>
      <c r="S7" s="254"/>
      <c r="T7" s="254"/>
      <c r="U7" s="105"/>
      <c r="V7" s="105"/>
      <c r="W7" s="105"/>
      <c r="X7" t="s" s="167">
        <v>1739</v>
      </c>
      <c r="Y7" s="105"/>
      <c r="Z7" s="105"/>
      <c r="AA7" s="105"/>
      <c r="AB7" s="105"/>
      <c r="AC7" s="255">
        <v>1</v>
      </c>
      <c r="AD7" s="105"/>
      <c r="AE7" s="105"/>
      <c r="AF7" s="251"/>
      <c r="AG7" s="115"/>
      <c r="AH7" s="17"/>
      <c r="AI7" s="17"/>
      <c r="AJ7" s="17"/>
      <c r="AK7" s="17"/>
      <c r="AL7" s="17"/>
      <c r="AM7" s="17"/>
      <c r="AN7" s="17"/>
      <c r="AO7" s="17"/>
      <c r="AP7" s="17"/>
      <c r="AQ7" s="17"/>
      <c r="AR7" s="17"/>
      <c r="AS7" s="17"/>
      <c r="AT7" s="17"/>
      <c r="AU7" s="17"/>
      <c r="AV7" s="17"/>
      <c r="AW7" s="17"/>
      <c r="AX7" s="17"/>
      <c r="AY7" s="17"/>
    </row>
    <row r="8" ht="17.45" customHeight="1">
      <c r="A8" t="s" s="167">
        <v>1730</v>
      </c>
      <c r="B8" s="105"/>
      <c r="C8" s="105"/>
      <c r="D8" t="s" s="167">
        <v>1731</v>
      </c>
      <c r="E8" t="s" s="167">
        <v>1732</v>
      </c>
      <c r="F8" t="s" s="167">
        <v>967</v>
      </c>
      <c r="G8" s="108">
        <v>1</v>
      </c>
      <c r="H8" s="105"/>
      <c r="I8" s="105"/>
      <c r="J8" s="105"/>
      <c r="K8" s="105"/>
      <c r="L8" s="105"/>
      <c r="M8" s="255">
        <v>1</v>
      </c>
      <c r="N8" s="254"/>
      <c r="O8" s="254"/>
      <c r="P8" s="254"/>
      <c r="Q8" s="255">
        <v>11</v>
      </c>
      <c r="R8" s="307"/>
      <c r="S8" s="254"/>
      <c r="T8" s="254"/>
      <c r="U8" s="105"/>
      <c r="V8" s="105"/>
      <c r="W8" s="105"/>
      <c r="X8" t="s" s="167">
        <v>1739</v>
      </c>
      <c r="Y8" s="105"/>
      <c r="Z8" s="105"/>
      <c r="AA8" s="105"/>
      <c r="AB8" s="105"/>
      <c r="AC8" s="255">
        <v>1</v>
      </c>
      <c r="AD8" s="105"/>
      <c r="AE8" s="105"/>
      <c r="AF8" s="251"/>
      <c r="AG8" s="115"/>
      <c r="AH8" s="17"/>
      <c r="AI8" s="17"/>
      <c r="AJ8" s="17"/>
      <c r="AK8" s="17"/>
      <c r="AL8" s="17"/>
      <c r="AM8" s="17"/>
      <c r="AN8" s="17"/>
      <c r="AO8" s="17"/>
      <c r="AP8" s="17"/>
      <c r="AQ8" s="17"/>
      <c r="AR8" s="17"/>
      <c r="AS8" s="17"/>
      <c r="AT8" s="17"/>
      <c r="AU8" s="17"/>
      <c r="AV8" s="17"/>
      <c r="AW8" s="17"/>
      <c r="AX8" s="17"/>
      <c r="AY8" s="17"/>
    </row>
    <row r="9" ht="17.45" customHeight="1">
      <c r="A9" t="s" s="167">
        <v>1740</v>
      </c>
      <c r="B9" s="105"/>
      <c r="C9" s="108">
        <v>3</v>
      </c>
      <c r="D9" t="s" s="167">
        <v>1731</v>
      </c>
      <c r="E9" t="s" s="167">
        <v>1126</v>
      </c>
      <c r="F9" t="s" s="167">
        <v>1191</v>
      </c>
      <c r="G9" s="105"/>
      <c r="H9" s="108">
        <v>1</v>
      </c>
      <c r="I9" s="105"/>
      <c r="J9" s="105"/>
      <c r="K9" s="108">
        <v>1</v>
      </c>
      <c r="L9" s="105"/>
      <c r="M9" s="254"/>
      <c r="N9" s="254"/>
      <c r="O9" s="254"/>
      <c r="P9" s="254"/>
      <c r="Q9" s="255">
        <v>45</v>
      </c>
      <c r="R9" s="307">
        <v>1</v>
      </c>
      <c r="S9" s="254"/>
      <c r="T9" s="105"/>
      <c r="U9" s="105"/>
      <c r="V9" s="105"/>
      <c r="W9" s="105"/>
      <c r="X9" t="s" s="167">
        <v>1741</v>
      </c>
      <c r="Y9" t="s" s="167">
        <v>1742</v>
      </c>
      <c r="Z9" s="108">
        <v>1</v>
      </c>
      <c r="AA9" s="105"/>
      <c r="AB9" s="108">
        <v>1</v>
      </c>
      <c r="AC9" s="105"/>
      <c r="AD9" s="105"/>
      <c r="AE9" s="105"/>
      <c r="AF9" s="251"/>
      <c r="AG9" s="115"/>
      <c r="AH9" s="17"/>
      <c r="AI9" s="17"/>
      <c r="AJ9" s="17"/>
      <c r="AK9" s="17"/>
      <c r="AL9" s="17"/>
      <c r="AM9" s="17"/>
      <c r="AN9" s="17"/>
      <c r="AO9" s="17"/>
      <c r="AP9" s="17"/>
      <c r="AQ9" s="17"/>
      <c r="AR9" s="17"/>
      <c r="AS9" s="17"/>
      <c r="AT9" s="17"/>
      <c r="AU9" s="17"/>
      <c r="AV9" s="17"/>
      <c r="AW9" s="17"/>
      <c r="AX9" s="17"/>
      <c r="AY9" s="17"/>
    </row>
    <row r="10" ht="17.45" customHeight="1">
      <c r="A10" t="s" s="167">
        <v>1740</v>
      </c>
      <c r="B10" s="105"/>
      <c r="C10" s="108">
        <v>3</v>
      </c>
      <c r="D10" t="s" s="167">
        <v>1731</v>
      </c>
      <c r="E10" t="s" s="167">
        <v>1126</v>
      </c>
      <c r="F10" t="s" s="167">
        <v>272</v>
      </c>
      <c r="G10" s="108">
        <v>1</v>
      </c>
      <c r="H10" s="105"/>
      <c r="I10" s="105"/>
      <c r="J10" s="105"/>
      <c r="K10" s="105"/>
      <c r="L10" s="108">
        <v>1</v>
      </c>
      <c r="M10" s="254"/>
      <c r="N10" s="254"/>
      <c r="O10" s="254"/>
      <c r="P10" s="254"/>
      <c r="Q10" s="255">
        <v>44</v>
      </c>
      <c r="R10" s="307">
        <v>1</v>
      </c>
      <c r="S10" s="254"/>
      <c r="T10" s="254"/>
      <c r="U10" s="108">
        <v>19</v>
      </c>
      <c r="V10" s="255">
        <v>3</v>
      </c>
      <c r="W10" s="255">
        <v>2</v>
      </c>
      <c r="X10" s="105"/>
      <c r="Y10" s="105"/>
      <c r="Z10" s="105"/>
      <c r="AA10" s="105"/>
      <c r="AB10" s="105"/>
      <c r="AC10" s="105"/>
      <c r="AD10" t="s" s="167">
        <v>449</v>
      </c>
      <c r="AE10" s="105"/>
      <c r="AF10" s="251"/>
      <c r="AG10" s="115"/>
      <c r="AH10" s="17"/>
      <c r="AI10" s="17"/>
      <c r="AJ10" s="17"/>
      <c r="AK10" s="17"/>
      <c r="AL10" s="17"/>
      <c r="AM10" s="17"/>
      <c r="AN10" s="17"/>
      <c r="AO10" s="17"/>
      <c r="AP10" s="17"/>
      <c r="AQ10" s="17"/>
      <c r="AR10" s="17"/>
      <c r="AS10" s="17"/>
      <c r="AT10" s="17"/>
      <c r="AU10" s="17"/>
      <c r="AV10" s="17"/>
      <c r="AW10" s="17"/>
      <c r="AX10" s="17"/>
      <c r="AY10" s="17"/>
    </row>
    <row r="11" ht="17.45" customHeight="1">
      <c r="A11" t="s" s="167">
        <v>1740</v>
      </c>
      <c r="B11" s="105"/>
      <c r="C11" s="108">
        <v>3</v>
      </c>
      <c r="D11" t="s" s="167">
        <v>1731</v>
      </c>
      <c r="E11" t="s" s="167">
        <v>1126</v>
      </c>
      <c r="F11" t="s" s="167">
        <v>1743</v>
      </c>
      <c r="G11" s="105"/>
      <c r="H11" s="108">
        <v>1</v>
      </c>
      <c r="I11" s="105"/>
      <c r="J11" s="105"/>
      <c r="K11" s="105"/>
      <c r="L11" s="105"/>
      <c r="M11" s="254"/>
      <c r="N11" s="255">
        <v>1</v>
      </c>
      <c r="O11" s="254"/>
      <c r="P11" s="254"/>
      <c r="Q11" s="255">
        <v>18</v>
      </c>
      <c r="R11" s="307"/>
      <c r="S11" s="255">
        <v>1</v>
      </c>
      <c r="T11" s="254"/>
      <c r="U11" s="105"/>
      <c r="V11" s="105"/>
      <c r="W11" s="105"/>
      <c r="X11" t="s" s="167">
        <v>79</v>
      </c>
      <c r="Y11" t="s" s="167">
        <v>1744</v>
      </c>
      <c r="Z11" s="108">
        <v>1</v>
      </c>
      <c r="AA11" s="105"/>
      <c r="AB11" s="108">
        <v>1</v>
      </c>
      <c r="AC11" s="108">
        <v>1</v>
      </c>
      <c r="AD11" s="105"/>
      <c r="AE11" s="105"/>
      <c r="AF11" s="251"/>
      <c r="AG11" s="115"/>
      <c r="AH11" s="17"/>
      <c r="AI11" s="17"/>
      <c r="AJ11" s="17"/>
      <c r="AK11" s="17"/>
      <c r="AL11" s="17"/>
      <c r="AM11" s="17"/>
      <c r="AN11" s="17"/>
      <c r="AO11" s="17"/>
      <c r="AP11" s="17"/>
      <c r="AQ11" s="17"/>
      <c r="AR11" s="17"/>
      <c r="AS11" s="17"/>
      <c r="AT11" s="17"/>
      <c r="AU11" s="17"/>
      <c r="AV11" s="17"/>
      <c r="AW11" s="17"/>
      <c r="AX11" s="17"/>
      <c r="AY11" s="17"/>
    </row>
    <row r="12" ht="17.45" customHeight="1">
      <c r="A12" t="s" s="167">
        <v>1740</v>
      </c>
      <c r="B12" s="105"/>
      <c r="C12" s="108">
        <v>3</v>
      </c>
      <c r="D12" t="s" s="167">
        <v>1731</v>
      </c>
      <c r="E12" t="s" s="167">
        <v>1126</v>
      </c>
      <c r="F12" t="s" s="167">
        <v>1745</v>
      </c>
      <c r="G12" s="108">
        <v>1</v>
      </c>
      <c r="H12" s="105"/>
      <c r="I12" s="105"/>
      <c r="J12" s="105"/>
      <c r="K12" s="105"/>
      <c r="L12" s="105"/>
      <c r="M12" s="108">
        <v>1</v>
      </c>
      <c r="N12" s="105"/>
      <c r="O12" s="105"/>
      <c r="P12" s="105"/>
      <c r="Q12" s="108">
        <v>17</v>
      </c>
      <c r="R12" s="308"/>
      <c r="S12" s="255">
        <v>1</v>
      </c>
      <c r="T12" s="105"/>
      <c r="U12" s="105"/>
      <c r="V12" s="105"/>
      <c r="W12" s="105"/>
      <c r="X12" t="s" s="167">
        <v>826</v>
      </c>
      <c r="Y12" s="105"/>
      <c r="Z12" s="108">
        <v>1</v>
      </c>
      <c r="AA12" s="105"/>
      <c r="AB12" s="108">
        <v>1</v>
      </c>
      <c r="AC12" s="108">
        <v>1</v>
      </c>
      <c r="AD12" s="105"/>
      <c r="AE12" s="105"/>
      <c r="AF12" s="251"/>
      <c r="AG12" s="115"/>
      <c r="AH12" s="17"/>
      <c r="AI12" s="17"/>
      <c r="AJ12" s="17"/>
      <c r="AK12" s="17"/>
      <c r="AL12" s="17"/>
      <c r="AM12" s="17"/>
      <c r="AN12" s="17"/>
      <c r="AO12" s="17"/>
      <c r="AP12" s="17"/>
      <c r="AQ12" s="17"/>
      <c r="AR12" s="17"/>
      <c r="AS12" s="17"/>
      <c r="AT12" s="17"/>
      <c r="AU12" s="17"/>
      <c r="AV12" s="17"/>
      <c r="AW12" s="17"/>
      <c r="AX12" s="17"/>
      <c r="AY12" s="17"/>
    </row>
    <row r="13" ht="17" customHeight="1">
      <c r="A13" t="s" s="167">
        <v>1740</v>
      </c>
      <c r="B13" s="105"/>
      <c r="C13" s="108">
        <v>3</v>
      </c>
      <c r="D13" t="s" s="167">
        <v>1731</v>
      </c>
      <c r="E13" t="s" s="167">
        <v>1746</v>
      </c>
      <c r="F13" t="s" s="167">
        <v>1747</v>
      </c>
      <c r="G13" s="105"/>
      <c r="H13" s="108">
        <v>1</v>
      </c>
      <c r="I13" s="105"/>
      <c r="J13" s="105"/>
      <c r="K13" s="105"/>
      <c r="L13" s="105"/>
      <c r="M13" s="254"/>
      <c r="N13" s="254"/>
      <c r="O13" t="s" s="276">
        <v>441</v>
      </c>
      <c r="P13" s="254"/>
      <c r="Q13" s="255">
        <v>42</v>
      </c>
      <c r="R13" s="307">
        <v>1</v>
      </c>
      <c r="S13" s="254"/>
      <c r="T13" s="254"/>
      <c r="U13" s="105"/>
      <c r="V13" s="105"/>
      <c r="W13" s="105"/>
      <c r="X13" t="s" s="167">
        <v>1748</v>
      </c>
      <c r="Y13" t="s" s="167">
        <v>1749</v>
      </c>
      <c r="Z13" s="108">
        <v>1</v>
      </c>
      <c r="AA13" s="105"/>
      <c r="AB13" s="108">
        <v>1</v>
      </c>
      <c r="AC13" s="105"/>
      <c r="AD13" t="s" s="167">
        <v>449</v>
      </c>
      <c r="AE13" s="105"/>
      <c r="AF13" s="251"/>
      <c r="AG13" s="115"/>
      <c r="AH13" s="17"/>
      <c r="AI13" s="17"/>
      <c r="AJ13" s="17"/>
      <c r="AK13" s="17"/>
      <c r="AL13" s="17"/>
      <c r="AM13" s="17"/>
      <c r="AN13" s="17"/>
      <c r="AO13" s="17"/>
      <c r="AP13" s="17"/>
      <c r="AQ13" s="17"/>
      <c r="AR13" s="17"/>
      <c r="AS13" s="17"/>
      <c r="AT13" s="17"/>
      <c r="AU13" s="17"/>
      <c r="AV13" s="17"/>
      <c r="AW13" s="17"/>
      <c r="AX13" s="17"/>
      <c r="AY13" s="17"/>
    </row>
    <row r="14" ht="17" customHeight="1">
      <c r="A14" t="s" s="167">
        <v>1740</v>
      </c>
      <c r="B14" s="105"/>
      <c r="C14" s="108">
        <v>3</v>
      </c>
      <c r="D14" t="s" s="167">
        <v>1731</v>
      </c>
      <c r="E14" t="s" s="167">
        <v>1746</v>
      </c>
      <c r="F14" t="s" s="167">
        <v>1750</v>
      </c>
      <c r="G14" s="108">
        <v>1</v>
      </c>
      <c r="H14" s="105"/>
      <c r="I14" s="105"/>
      <c r="J14" s="105"/>
      <c r="K14" s="105"/>
      <c r="L14" s="105"/>
      <c r="M14" s="254"/>
      <c r="N14" s="254"/>
      <c r="O14" t="s" s="276">
        <v>441</v>
      </c>
      <c r="P14" s="254"/>
      <c r="Q14" s="255">
        <v>39</v>
      </c>
      <c r="R14" s="307">
        <v>1</v>
      </c>
      <c r="S14" s="254"/>
      <c r="T14" s="254"/>
      <c r="U14" s="108">
        <v>15</v>
      </c>
      <c r="V14" s="105"/>
      <c r="W14" s="105"/>
      <c r="X14" s="105"/>
      <c r="Y14" s="105"/>
      <c r="Z14" s="105"/>
      <c r="AA14" s="105"/>
      <c r="AB14" s="105"/>
      <c r="AC14" s="105"/>
      <c r="AD14" t="s" s="167">
        <v>449</v>
      </c>
      <c r="AE14" s="105"/>
      <c r="AF14" s="251"/>
      <c r="AG14" s="115"/>
      <c r="AH14" s="17"/>
      <c r="AI14" s="17"/>
      <c r="AJ14" s="17"/>
      <c r="AK14" s="17"/>
      <c r="AL14" s="17"/>
      <c r="AM14" s="17"/>
      <c r="AN14" s="17"/>
      <c r="AO14" s="17"/>
      <c r="AP14" s="17"/>
      <c r="AQ14" s="17"/>
      <c r="AR14" s="17"/>
      <c r="AS14" s="17"/>
      <c r="AT14" s="17"/>
      <c r="AU14" s="17"/>
      <c r="AV14" s="17"/>
      <c r="AW14" s="17"/>
      <c r="AX14" s="17"/>
      <c r="AY14" s="17"/>
    </row>
    <row r="15" ht="34" customHeight="1">
      <c r="A15" t="s" s="277">
        <v>1751</v>
      </c>
      <c r="B15" s="309"/>
      <c r="C15" s="310">
        <v>5</v>
      </c>
      <c r="D15" t="s" s="167">
        <v>1731</v>
      </c>
      <c r="E15" t="s" s="277">
        <v>1752</v>
      </c>
      <c r="F15" t="s" s="276">
        <v>307</v>
      </c>
      <c r="G15" s="105"/>
      <c r="H15" s="255">
        <v>1</v>
      </c>
      <c r="I15" s="254"/>
      <c r="J15" s="254"/>
      <c r="K15" s="255">
        <v>1</v>
      </c>
      <c r="L15" s="254"/>
      <c r="M15" s="254"/>
      <c r="N15" s="254"/>
      <c r="O15" s="254"/>
      <c r="P15" s="254"/>
      <c r="Q15" s="255">
        <v>70</v>
      </c>
      <c r="R15" s="307"/>
      <c r="S15" s="254"/>
      <c r="T15" s="255">
        <v>1</v>
      </c>
      <c r="U15" s="254"/>
      <c r="V15" s="254"/>
      <c r="W15" s="254"/>
      <c r="X15" t="s" s="276">
        <v>1753</v>
      </c>
      <c r="Y15" t="s" s="276">
        <v>1754</v>
      </c>
      <c r="Z15" s="255">
        <v>1</v>
      </c>
      <c r="AA15" s="254"/>
      <c r="AB15" s="255">
        <v>1</v>
      </c>
      <c r="AC15" s="255">
        <v>1</v>
      </c>
      <c r="AD15" s="254"/>
      <c r="AE15" s="105"/>
      <c r="AF15" s="251"/>
      <c r="AG15" s="115"/>
      <c r="AH15" s="17"/>
      <c r="AI15" s="17"/>
      <c r="AJ15" s="17"/>
      <c r="AK15" s="17"/>
      <c r="AL15" s="17"/>
      <c r="AM15" s="17"/>
      <c r="AN15" s="17"/>
      <c r="AO15" s="17"/>
      <c r="AP15" s="17"/>
      <c r="AQ15" s="17"/>
      <c r="AR15" s="17"/>
      <c r="AS15" s="17"/>
      <c r="AT15" s="17"/>
      <c r="AU15" s="17"/>
      <c r="AV15" s="17"/>
      <c r="AW15" s="17"/>
      <c r="AX15" s="17"/>
      <c r="AY15" s="17"/>
    </row>
    <row r="16" ht="28" customHeight="1">
      <c r="A16" t="s" s="277">
        <v>1751</v>
      </c>
      <c r="B16" s="309"/>
      <c r="C16" s="310">
        <v>5</v>
      </c>
      <c r="D16" t="s" s="167">
        <v>1731</v>
      </c>
      <c r="E16" t="s" s="277">
        <v>1752</v>
      </c>
      <c r="F16" t="s" s="276">
        <v>1131</v>
      </c>
      <c r="G16" s="108">
        <v>1</v>
      </c>
      <c r="H16" s="254"/>
      <c r="I16" s="254"/>
      <c r="J16" s="254"/>
      <c r="K16" s="278"/>
      <c r="L16" s="254"/>
      <c r="M16" s="255">
        <v>1</v>
      </c>
      <c r="N16" s="254"/>
      <c r="O16" s="254"/>
      <c r="P16" s="254"/>
      <c r="Q16" s="279">
        <v>42</v>
      </c>
      <c r="R16" s="311"/>
      <c r="S16" s="255">
        <v>1</v>
      </c>
      <c r="T16" s="280"/>
      <c r="U16" s="254"/>
      <c r="V16" s="254"/>
      <c r="W16" s="254"/>
      <c r="X16" t="s" s="276">
        <v>1755</v>
      </c>
      <c r="Y16" t="s" s="276">
        <v>1756</v>
      </c>
      <c r="Z16" s="255">
        <v>1</v>
      </c>
      <c r="AA16" s="254"/>
      <c r="AB16" s="255">
        <v>1</v>
      </c>
      <c r="AC16" s="254"/>
      <c r="AD16" t="s" s="277">
        <v>1757</v>
      </c>
      <c r="AE16" s="105"/>
      <c r="AF16" s="251"/>
      <c r="AG16" s="115"/>
      <c r="AH16" s="17"/>
      <c r="AI16" s="17"/>
      <c r="AJ16" s="17"/>
      <c r="AK16" s="17"/>
      <c r="AL16" s="17"/>
      <c r="AM16" s="17"/>
      <c r="AN16" s="17"/>
      <c r="AO16" s="17"/>
      <c r="AP16" s="17"/>
      <c r="AQ16" s="17"/>
      <c r="AR16" s="17"/>
      <c r="AS16" s="17"/>
      <c r="AT16" s="17"/>
      <c r="AU16" s="17"/>
      <c r="AV16" s="17"/>
      <c r="AW16" s="17"/>
      <c r="AX16" s="17"/>
      <c r="AY16" s="17"/>
    </row>
    <row r="17" ht="17.45" customHeight="1">
      <c r="A17" t="s" s="277">
        <v>1751</v>
      </c>
      <c r="B17" s="309"/>
      <c r="C17" s="310">
        <v>5</v>
      </c>
      <c r="D17" t="s" s="167">
        <v>1731</v>
      </c>
      <c r="E17" t="s" s="277">
        <v>1752</v>
      </c>
      <c r="F17" t="s" s="167">
        <v>1758</v>
      </c>
      <c r="G17" s="108">
        <v>1</v>
      </c>
      <c r="H17" s="105"/>
      <c r="I17" s="105"/>
      <c r="J17" s="105"/>
      <c r="K17" s="105"/>
      <c r="L17" s="105"/>
      <c r="M17" s="255">
        <v>1</v>
      </c>
      <c r="N17" s="254"/>
      <c r="O17" s="254"/>
      <c r="P17" s="254"/>
      <c r="Q17" s="255">
        <v>33</v>
      </c>
      <c r="R17" s="307"/>
      <c r="S17" s="255">
        <v>1</v>
      </c>
      <c r="T17" s="254"/>
      <c r="U17" s="254"/>
      <c r="V17" s="254"/>
      <c r="W17" s="254"/>
      <c r="X17" t="s" s="167">
        <v>1759</v>
      </c>
      <c r="Y17" t="s" s="167">
        <v>1760</v>
      </c>
      <c r="Z17" s="108">
        <v>1</v>
      </c>
      <c r="AA17" s="105"/>
      <c r="AB17" s="108">
        <v>1</v>
      </c>
      <c r="AC17" s="108">
        <v>1</v>
      </c>
      <c r="AD17" s="105"/>
      <c r="AE17" s="105"/>
      <c r="AF17" s="251"/>
      <c r="AG17" s="115"/>
      <c r="AH17" s="17"/>
      <c r="AI17" s="17"/>
      <c r="AJ17" s="17"/>
      <c r="AK17" s="17"/>
      <c r="AL17" s="17"/>
      <c r="AM17" s="17"/>
      <c r="AN17" s="17"/>
      <c r="AO17" s="17"/>
      <c r="AP17" s="17"/>
      <c r="AQ17" s="17"/>
      <c r="AR17" s="17"/>
      <c r="AS17" s="17"/>
      <c r="AT17" s="17"/>
      <c r="AU17" s="17"/>
      <c r="AV17" s="17"/>
      <c r="AW17" s="17"/>
      <c r="AX17" s="17"/>
      <c r="AY17" s="17"/>
    </row>
    <row r="18" ht="17.45" customHeight="1">
      <c r="A18" t="s" s="277">
        <v>1751</v>
      </c>
      <c r="B18" s="309"/>
      <c r="C18" s="310">
        <v>5</v>
      </c>
      <c r="D18" t="s" s="167">
        <v>1731</v>
      </c>
      <c r="E18" t="s" s="277">
        <v>1752</v>
      </c>
      <c r="F18" t="s" s="167">
        <v>1761</v>
      </c>
      <c r="G18" s="105"/>
      <c r="H18" s="108">
        <v>1</v>
      </c>
      <c r="I18" s="105"/>
      <c r="J18" s="105"/>
      <c r="K18" s="105"/>
      <c r="L18" s="105"/>
      <c r="M18" s="254"/>
      <c r="N18" s="255">
        <v>1</v>
      </c>
      <c r="O18" s="254"/>
      <c r="P18" s="254"/>
      <c r="Q18" s="255">
        <v>23</v>
      </c>
      <c r="R18" s="307"/>
      <c r="S18" s="255">
        <v>1</v>
      </c>
      <c r="T18" s="254"/>
      <c r="U18" s="254"/>
      <c r="V18" s="254"/>
      <c r="W18" s="254"/>
      <c r="X18" t="s" s="167">
        <v>79</v>
      </c>
      <c r="Y18" t="s" s="167">
        <v>1762</v>
      </c>
      <c r="Z18" s="108">
        <v>1</v>
      </c>
      <c r="AA18" s="105"/>
      <c r="AB18" s="108">
        <v>1</v>
      </c>
      <c r="AC18" s="108">
        <v>1</v>
      </c>
      <c r="AD18" s="105"/>
      <c r="AE18" s="105"/>
      <c r="AF18" s="251"/>
      <c r="AG18" s="115"/>
      <c r="AH18" s="17"/>
      <c r="AI18" s="17"/>
      <c r="AJ18" s="17"/>
      <c r="AK18" s="17"/>
      <c r="AL18" s="17"/>
      <c r="AM18" s="17"/>
      <c r="AN18" s="17"/>
      <c r="AO18" s="17"/>
      <c r="AP18" s="17"/>
      <c r="AQ18" s="17"/>
      <c r="AR18" s="17"/>
      <c r="AS18" s="17"/>
      <c r="AT18" s="17"/>
      <c r="AU18" s="17"/>
      <c r="AV18" s="17"/>
      <c r="AW18" s="17"/>
      <c r="AX18" s="17"/>
      <c r="AY18" s="17"/>
    </row>
    <row r="19" ht="17.45" customHeight="1">
      <c r="A19" t="s" s="277">
        <v>1751</v>
      </c>
      <c r="B19" s="309"/>
      <c r="C19" s="310">
        <v>5</v>
      </c>
      <c r="D19" t="s" s="167">
        <v>1731</v>
      </c>
      <c r="E19" t="s" s="167">
        <v>804</v>
      </c>
      <c r="F19" t="s" s="167">
        <v>1075</v>
      </c>
      <c r="G19" s="108">
        <v>1</v>
      </c>
      <c r="H19" s="105"/>
      <c r="I19" s="105"/>
      <c r="J19" s="105"/>
      <c r="K19" s="105"/>
      <c r="L19" s="254"/>
      <c r="M19" s="254"/>
      <c r="N19" s="254"/>
      <c r="O19" s="254"/>
      <c r="P19" s="255">
        <v>1</v>
      </c>
      <c r="Q19" s="255">
        <v>20</v>
      </c>
      <c r="R19" s="307"/>
      <c r="S19" s="255">
        <v>1</v>
      </c>
      <c r="T19" s="312"/>
      <c r="U19" s="254"/>
      <c r="V19" s="254"/>
      <c r="W19" s="254"/>
      <c r="X19" t="s" s="167">
        <v>138</v>
      </c>
      <c r="Y19" s="105"/>
      <c r="Z19" s="108">
        <v>1</v>
      </c>
      <c r="AA19" s="105"/>
      <c r="AB19" s="108">
        <v>1</v>
      </c>
      <c r="AC19" s="108">
        <v>1</v>
      </c>
      <c r="AD19" s="105"/>
      <c r="AE19" s="105"/>
      <c r="AF19" s="251"/>
      <c r="AG19" s="115"/>
      <c r="AH19" s="17"/>
      <c r="AI19" s="17"/>
      <c r="AJ19" s="17"/>
      <c r="AK19" s="17"/>
      <c r="AL19" s="17"/>
      <c r="AM19" s="17"/>
      <c r="AN19" s="17"/>
      <c r="AO19" s="17"/>
      <c r="AP19" s="17"/>
      <c r="AQ19" s="17"/>
      <c r="AR19" s="17"/>
      <c r="AS19" s="17"/>
      <c r="AT19" s="17"/>
      <c r="AU19" s="17"/>
      <c r="AV19" s="17"/>
      <c r="AW19" s="17"/>
      <c r="AX19" s="17"/>
      <c r="AY19" s="17"/>
    </row>
    <row r="20" ht="17.45" customHeight="1">
      <c r="A20" t="s" s="167">
        <v>1763</v>
      </c>
      <c r="B20" s="105"/>
      <c r="C20" s="108">
        <v>7</v>
      </c>
      <c r="D20" t="s" s="167">
        <v>1731</v>
      </c>
      <c r="E20" t="s" s="167">
        <v>1623</v>
      </c>
      <c r="F20" t="s" s="167">
        <v>154</v>
      </c>
      <c r="G20" s="108">
        <v>1</v>
      </c>
      <c r="H20" s="105"/>
      <c r="I20" s="105"/>
      <c r="J20" s="105"/>
      <c r="K20" s="108">
        <v>1</v>
      </c>
      <c r="L20" s="254"/>
      <c r="M20" s="254"/>
      <c r="N20" s="254"/>
      <c r="O20" s="254"/>
      <c r="P20" s="254"/>
      <c r="Q20" s="255">
        <v>56</v>
      </c>
      <c r="R20" s="307"/>
      <c r="S20" s="254"/>
      <c r="T20" s="255">
        <v>1</v>
      </c>
      <c r="U20" s="254"/>
      <c r="V20" s="254"/>
      <c r="W20" s="254"/>
      <c r="X20" t="s" s="167">
        <v>589</v>
      </c>
      <c r="Y20" s="105"/>
      <c r="Z20" s="105"/>
      <c r="AA20" s="105"/>
      <c r="AB20" s="105"/>
      <c r="AC20" s="105"/>
      <c r="AD20" t="s" s="167">
        <v>1183</v>
      </c>
      <c r="AE20" s="105"/>
      <c r="AF20" s="251"/>
      <c r="AG20" s="115"/>
      <c r="AH20" s="17"/>
      <c r="AI20" s="17"/>
      <c r="AJ20" s="17"/>
      <c r="AK20" s="17"/>
      <c r="AL20" s="17"/>
      <c r="AM20" s="17"/>
      <c r="AN20" s="17"/>
      <c r="AO20" s="17"/>
      <c r="AP20" s="17"/>
      <c r="AQ20" s="17"/>
      <c r="AR20" s="17"/>
      <c r="AS20" s="17"/>
      <c r="AT20" s="17"/>
      <c r="AU20" s="17"/>
      <c r="AV20" s="17"/>
      <c r="AW20" s="17"/>
      <c r="AX20" s="17"/>
      <c r="AY20" s="17"/>
    </row>
    <row r="21" ht="17.45" customHeight="1">
      <c r="A21" t="s" s="167">
        <v>1763</v>
      </c>
      <c r="B21" s="105"/>
      <c r="C21" s="108">
        <v>7</v>
      </c>
      <c r="D21" t="s" s="167">
        <v>1731</v>
      </c>
      <c r="E21" t="s" s="167">
        <v>1623</v>
      </c>
      <c r="F21" t="s" s="167">
        <v>1712</v>
      </c>
      <c r="G21" s="105"/>
      <c r="H21" s="108">
        <v>1</v>
      </c>
      <c r="I21" s="105"/>
      <c r="J21" s="105"/>
      <c r="K21" s="105"/>
      <c r="L21" s="105"/>
      <c r="M21" s="254"/>
      <c r="N21" s="255">
        <v>1</v>
      </c>
      <c r="O21" s="254"/>
      <c r="P21" s="254"/>
      <c r="Q21" s="255">
        <v>29</v>
      </c>
      <c r="R21" s="307"/>
      <c r="S21" s="255">
        <v>1</v>
      </c>
      <c r="T21" s="105"/>
      <c r="U21" s="105"/>
      <c r="V21" s="105"/>
      <c r="W21" s="105"/>
      <c r="X21" t="s" s="167">
        <v>1764</v>
      </c>
      <c r="Y21" s="105"/>
      <c r="Z21" s="108">
        <v>1</v>
      </c>
      <c r="AA21" s="108">
        <v>1</v>
      </c>
      <c r="AB21" s="105"/>
      <c r="AC21" s="105"/>
      <c r="AD21" t="s" s="167">
        <v>1765</v>
      </c>
      <c r="AE21" s="105"/>
      <c r="AF21" s="251"/>
      <c r="AG21" s="115"/>
      <c r="AH21" s="17"/>
      <c r="AI21" s="17"/>
      <c r="AJ21" s="17"/>
      <c r="AK21" s="17"/>
      <c r="AL21" s="17"/>
      <c r="AM21" s="17"/>
      <c r="AN21" s="17"/>
      <c r="AO21" s="17"/>
      <c r="AP21" s="17"/>
      <c r="AQ21" s="17"/>
      <c r="AR21" s="17"/>
      <c r="AS21" s="17"/>
      <c r="AT21" s="17"/>
      <c r="AU21" s="17"/>
      <c r="AV21" s="17"/>
      <c r="AW21" s="17"/>
      <c r="AX21" s="17"/>
      <c r="AY21" s="17"/>
    </row>
    <row r="22" ht="17.45" customHeight="1">
      <c r="A22" t="s" s="167">
        <v>1763</v>
      </c>
      <c r="B22" s="105"/>
      <c r="C22" s="108">
        <v>7</v>
      </c>
      <c r="D22" t="s" s="167">
        <v>1731</v>
      </c>
      <c r="E22" t="s" s="167">
        <v>1623</v>
      </c>
      <c r="F22" t="s" s="167">
        <v>1766</v>
      </c>
      <c r="G22" s="105"/>
      <c r="H22" s="108">
        <v>1</v>
      </c>
      <c r="I22" s="105"/>
      <c r="J22" s="105"/>
      <c r="K22" s="105"/>
      <c r="L22" s="105"/>
      <c r="M22" s="254"/>
      <c r="N22" s="255">
        <v>1</v>
      </c>
      <c r="O22" s="254"/>
      <c r="P22" s="254"/>
      <c r="Q22" s="255">
        <v>24</v>
      </c>
      <c r="R22" s="307"/>
      <c r="S22" s="255">
        <v>1</v>
      </c>
      <c r="T22" s="105"/>
      <c r="U22" s="105"/>
      <c r="V22" s="105"/>
      <c r="W22" s="105"/>
      <c r="X22" t="s" s="167">
        <v>1767</v>
      </c>
      <c r="Y22" s="105"/>
      <c r="Z22" s="108">
        <v>1</v>
      </c>
      <c r="AA22" s="108">
        <v>1</v>
      </c>
      <c r="AB22" s="105"/>
      <c r="AC22" s="108">
        <v>1</v>
      </c>
      <c r="AD22" s="105"/>
      <c r="AE22" s="105"/>
      <c r="AF22" s="251"/>
      <c r="AG22" s="115"/>
      <c r="AH22" s="17"/>
      <c r="AI22" s="17"/>
      <c r="AJ22" s="17"/>
      <c r="AK22" s="17"/>
      <c r="AL22" s="17"/>
      <c r="AM22" s="17"/>
      <c r="AN22" s="17"/>
      <c r="AO22" s="17"/>
      <c r="AP22" s="17"/>
      <c r="AQ22" s="17"/>
      <c r="AR22" s="17"/>
      <c r="AS22" s="17"/>
      <c r="AT22" s="17"/>
      <c r="AU22" s="17"/>
      <c r="AV22" s="17"/>
      <c r="AW22" s="17"/>
      <c r="AX22" s="17"/>
      <c r="AY22" s="17"/>
    </row>
    <row r="23" ht="17" customHeight="1">
      <c r="A23" t="s" s="167">
        <v>1763</v>
      </c>
      <c r="B23" s="105"/>
      <c r="C23" s="108">
        <v>7</v>
      </c>
      <c r="D23" t="s" s="167">
        <v>1731</v>
      </c>
      <c r="E23" t="s" s="167">
        <v>1768</v>
      </c>
      <c r="F23" t="s" s="167">
        <v>1769</v>
      </c>
      <c r="G23" s="105"/>
      <c r="H23" s="108">
        <v>1</v>
      </c>
      <c r="I23" s="105"/>
      <c r="J23" s="105"/>
      <c r="K23" s="105"/>
      <c r="L23" s="105"/>
      <c r="M23" s="254"/>
      <c r="N23" s="254"/>
      <c r="O23" t="s" s="276">
        <v>1366</v>
      </c>
      <c r="P23" s="254"/>
      <c r="Q23" s="255">
        <v>16</v>
      </c>
      <c r="R23" s="307"/>
      <c r="S23" s="255">
        <v>1</v>
      </c>
      <c r="T23" s="105"/>
      <c r="U23" s="105"/>
      <c r="V23" s="105"/>
      <c r="W23" s="105"/>
      <c r="X23" t="s" s="167">
        <v>1770</v>
      </c>
      <c r="Y23" s="105"/>
      <c r="Z23" s="108">
        <v>1</v>
      </c>
      <c r="AA23" s="105"/>
      <c r="AB23" s="108">
        <v>1</v>
      </c>
      <c r="AC23" s="105"/>
      <c r="AD23" t="s" s="167">
        <v>1240</v>
      </c>
      <c r="AE23" s="105"/>
      <c r="AF23" s="251"/>
      <c r="AG23" s="115"/>
      <c r="AH23" s="17"/>
      <c r="AI23" s="17"/>
      <c r="AJ23" s="17"/>
      <c r="AK23" s="17"/>
      <c r="AL23" s="17"/>
      <c r="AM23" s="17"/>
      <c r="AN23" s="17"/>
      <c r="AO23" s="17"/>
      <c r="AP23" s="17"/>
      <c r="AQ23" s="17"/>
      <c r="AR23" s="17"/>
      <c r="AS23" s="17"/>
      <c r="AT23" s="17"/>
      <c r="AU23" s="17"/>
      <c r="AV23" s="17"/>
      <c r="AW23" s="17"/>
      <c r="AX23" s="17"/>
      <c r="AY23" s="17"/>
    </row>
    <row r="24" ht="17.45" customHeight="1">
      <c r="A24" t="s" s="167">
        <v>1763</v>
      </c>
      <c r="B24" s="105"/>
      <c r="C24" s="108">
        <v>7</v>
      </c>
      <c r="D24" t="s" s="167">
        <v>1731</v>
      </c>
      <c r="E24" t="s" s="167">
        <v>1771</v>
      </c>
      <c r="F24" t="s" s="167">
        <v>193</v>
      </c>
      <c r="G24" s="108">
        <v>1</v>
      </c>
      <c r="H24" s="105"/>
      <c r="I24" s="105"/>
      <c r="J24" s="105"/>
      <c r="K24" s="105"/>
      <c r="L24" s="105"/>
      <c r="M24" s="254"/>
      <c r="N24" s="254"/>
      <c r="O24" s="254"/>
      <c r="P24" s="255">
        <v>1</v>
      </c>
      <c r="Q24" s="255">
        <v>18</v>
      </c>
      <c r="R24" s="307"/>
      <c r="S24" s="255">
        <v>1</v>
      </c>
      <c r="T24" s="105"/>
      <c r="U24" s="105"/>
      <c r="V24" s="105"/>
      <c r="W24" s="105"/>
      <c r="X24" t="s" s="167">
        <v>1233</v>
      </c>
      <c r="Y24" s="105"/>
      <c r="Z24" s="108">
        <v>1</v>
      </c>
      <c r="AA24" s="105"/>
      <c r="AB24" s="108">
        <v>1</v>
      </c>
      <c r="AC24" s="108">
        <v>1</v>
      </c>
      <c r="AD24" s="105"/>
      <c r="AE24" s="105"/>
      <c r="AF24" s="251"/>
      <c r="AG24" s="115"/>
      <c r="AH24" s="17"/>
      <c r="AI24" s="17"/>
      <c r="AJ24" s="17"/>
      <c r="AK24" s="17"/>
      <c r="AL24" s="17"/>
      <c r="AM24" s="17"/>
      <c r="AN24" s="17"/>
      <c r="AO24" s="17"/>
      <c r="AP24" s="17"/>
      <c r="AQ24" s="17"/>
      <c r="AR24" s="17"/>
      <c r="AS24" s="17"/>
      <c r="AT24" s="17"/>
      <c r="AU24" s="17"/>
      <c r="AV24" s="17"/>
      <c r="AW24" s="17"/>
      <c r="AX24" s="17"/>
      <c r="AY24" s="17"/>
    </row>
    <row r="25" ht="17.45" customHeight="1">
      <c r="A25" t="s" s="167">
        <v>1772</v>
      </c>
      <c r="B25" s="105"/>
      <c r="C25" s="108">
        <v>9</v>
      </c>
      <c r="D25" t="s" s="167">
        <v>1731</v>
      </c>
      <c r="E25" t="s" s="167">
        <v>1773</v>
      </c>
      <c r="F25" t="s" s="167">
        <v>811</v>
      </c>
      <c r="G25" s="105"/>
      <c r="H25" s="108">
        <v>1</v>
      </c>
      <c r="I25" s="105"/>
      <c r="J25" s="105"/>
      <c r="K25" s="108">
        <v>1</v>
      </c>
      <c r="L25" s="105"/>
      <c r="M25" s="254"/>
      <c r="N25" s="254"/>
      <c r="O25" s="254"/>
      <c r="P25" s="254"/>
      <c r="Q25" s="255">
        <v>52</v>
      </c>
      <c r="R25" s="307">
        <v>1</v>
      </c>
      <c r="S25" s="254"/>
      <c r="T25" s="105"/>
      <c r="U25" s="105"/>
      <c r="V25" s="105"/>
      <c r="W25" s="105"/>
      <c r="X25" t="s" s="167">
        <v>1774</v>
      </c>
      <c r="Y25" s="105"/>
      <c r="Z25" s="108">
        <v>1</v>
      </c>
      <c r="AA25" s="108">
        <v>1</v>
      </c>
      <c r="AB25" s="105"/>
      <c r="AC25" s="108">
        <v>1</v>
      </c>
      <c r="AD25" s="105"/>
      <c r="AE25" s="105"/>
      <c r="AF25" s="251"/>
      <c r="AG25" s="115"/>
      <c r="AH25" s="17"/>
      <c r="AI25" s="17"/>
      <c r="AJ25" s="17"/>
      <c r="AK25" s="17"/>
      <c r="AL25" s="17"/>
      <c r="AM25" s="17"/>
      <c r="AN25" s="17"/>
      <c r="AO25" s="17"/>
      <c r="AP25" s="17"/>
      <c r="AQ25" s="17"/>
      <c r="AR25" s="17"/>
      <c r="AS25" s="17"/>
      <c r="AT25" s="17"/>
      <c r="AU25" s="17"/>
      <c r="AV25" s="17"/>
      <c r="AW25" s="17"/>
      <c r="AX25" s="17"/>
      <c r="AY25" s="17"/>
    </row>
    <row r="26" ht="17.45" customHeight="1">
      <c r="A26" t="s" s="167">
        <v>1772</v>
      </c>
      <c r="B26" s="105"/>
      <c r="C26" s="108">
        <v>9</v>
      </c>
      <c r="D26" t="s" s="167">
        <v>1731</v>
      </c>
      <c r="E26" t="s" s="167">
        <v>1773</v>
      </c>
      <c r="F26" t="s" s="167">
        <v>1775</v>
      </c>
      <c r="G26" s="108">
        <v>1</v>
      </c>
      <c r="H26" s="105"/>
      <c r="I26" s="105"/>
      <c r="J26" s="105"/>
      <c r="K26" s="105"/>
      <c r="L26" s="108">
        <v>1</v>
      </c>
      <c r="M26" s="254"/>
      <c r="N26" s="254"/>
      <c r="O26" s="254"/>
      <c r="P26" s="254"/>
      <c r="Q26" s="255">
        <v>48</v>
      </c>
      <c r="R26" s="307">
        <v>1</v>
      </c>
      <c r="S26" s="254"/>
      <c r="T26" s="202"/>
      <c r="U26" s="108">
        <v>26</v>
      </c>
      <c r="V26" s="255">
        <v>1</v>
      </c>
      <c r="W26" s="255">
        <v>1</v>
      </c>
      <c r="X26" s="105"/>
      <c r="Y26" s="105"/>
      <c r="Z26" s="105"/>
      <c r="AA26" s="105"/>
      <c r="AB26" s="105"/>
      <c r="AC26" s="108">
        <v>1</v>
      </c>
      <c r="AD26" s="105"/>
      <c r="AE26" s="105"/>
      <c r="AF26" s="251"/>
      <c r="AG26" s="115"/>
      <c r="AH26" s="17"/>
      <c r="AI26" s="17"/>
      <c r="AJ26" s="17"/>
      <c r="AK26" s="17"/>
      <c r="AL26" s="17"/>
      <c r="AM26" s="17"/>
      <c r="AN26" s="17"/>
      <c r="AO26" s="17"/>
      <c r="AP26" s="17"/>
      <c r="AQ26" s="17"/>
      <c r="AR26" s="17"/>
      <c r="AS26" s="17"/>
      <c r="AT26" s="17"/>
      <c r="AU26" s="17"/>
      <c r="AV26" s="17"/>
      <c r="AW26" s="17"/>
      <c r="AX26" s="17"/>
      <c r="AY26" s="17"/>
    </row>
    <row r="27" ht="17.45" customHeight="1">
      <c r="A27" t="s" s="167">
        <v>1772</v>
      </c>
      <c r="B27" s="105"/>
      <c r="C27" s="108">
        <v>9</v>
      </c>
      <c r="D27" t="s" s="167">
        <v>1731</v>
      </c>
      <c r="E27" t="s" s="167">
        <v>1773</v>
      </c>
      <c r="F27" t="s" s="167">
        <v>1776</v>
      </c>
      <c r="G27" s="108">
        <v>1</v>
      </c>
      <c r="H27" s="105"/>
      <c r="I27" s="105"/>
      <c r="J27" s="105"/>
      <c r="K27" s="105"/>
      <c r="L27" s="105"/>
      <c r="M27" s="255">
        <v>1</v>
      </c>
      <c r="N27" s="254"/>
      <c r="O27" s="254"/>
      <c r="P27" s="254"/>
      <c r="Q27" s="255">
        <v>22</v>
      </c>
      <c r="R27" s="307"/>
      <c r="S27" s="255">
        <v>1</v>
      </c>
      <c r="T27" s="105"/>
      <c r="U27" s="105"/>
      <c r="V27" s="105"/>
      <c r="W27" s="105"/>
      <c r="X27" s="105"/>
      <c r="Y27" s="105"/>
      <c r="Z27" s="105"/>
      <c r="AA27" s="105"/>
      <c r="AB27" s="105"/>
      <c r="AC27" s="108">
        <v>1</v>
      </c>
      <c r="AD27" s="105"/>
      <c r="AE27" s="105"/>
      <c r="AF27" s="251"/>
      <c r="AG27" s="115"/>
      <c r="AH27" s="17"/>
      <c r="AI27" s="17"/>
      <c r="AJ27" s="17"/>
      <c r="AK27" s="17"/>
      <c r="AL27" s="17"/>
      <c r="AM27" s="17"/>
      <c r="AN27" s="17"/>
      <c r="AO27" s="17"/>
      <c r="AP27" s="17"/>
      <c r="AQ27" s="17"/>
      <c r="AR27" s="17"/>
      <c r="AS27" s="17"/>
      <c r="AT27" s="17"/>
      <c r="AU27" s="17"/>
      <c r="AV27" s="17"/>
      <c r="AW27" s="17"/>
      <c r="AX27" s="17"/>
      <c r="AY27" s="17"/>
    </row>
    <row r="28" ht="17" customHeight="1">
      <c r="A28" t="s" s="167">
        <v>1772</v>
      </c>
      <c r="B28" s="105"/>
      <c r="C28" s="108">
        <v>9</v>
      </c>
      <c r="D28" t="s" s="167">
        <v>1731</v>
      </c>
      <c r="E28" t="s" s="167">
        <v>1777</v>
      </c>
      <c r="F28" t="s" s="167">
        <v>204</v>
      </c>
      <c r="G28" s="108">
        <v>1</v>
      </c>
      <c r="H28" s="105"/>
      <c r="I28" s="105"/>
      <c r="J28" s="105"/>
      <c r="K28" s="105"/>
      <c r="L28" s="105"/>
      <c r="M28" s="254"/>
      <c r="N28" s="254"/>
      <c r="O28" t="s" s="276">
        <v>175</v>
      </c>
      <c r="P28" s="254"/>
      <c r="Q28" s="255">
        <v>53</v>
      </c>
      <c r="R28" s="307"/>
      <c r="S28" s="254"/>
      <c r="T28" s="108">
        <v>1</v>
      </c>
      <c r="U28" s="105"/>
      <c r="V28" s="105"/>
      <c r="W28" s="105"/>
      <c r="X28" t="s" s="167">
        <v>178</v>
      </c>
      <c r="Y28" s="105"/>
      <c r="Z28" s="108">
        <v>1</v>
      </c>
      <c r="AA28" s="105"/>
      <c r="AB28" s="105"/>
      <c r="AC28" s="105"/>
      <c r="AD28" t="s" s="167">
        <v>1183</v>
      </c>
      <c r="AE28" s="105"/>
      <c r="AF28" s="251"/>
      <c r="AG28" s="115"/>
      <c r="AH28" s="17"/>
      <c r="AI28" s="17"/>
      <c r="AJ28" s="17"/>
      <c r="AK28" s="17"/>
      <c r="AL28" s="17"/>
      <c r="AM28" s="17"/>
      <c r="AN28" s="17"/>
      <c r="AO28" s="17"/>
      <c r="AP28" s="17"/>
      <c r="AQ28" s="17"/>
      <c r="AR28" s="17"/>
      <c r="AS28" s="17"/>
      <c r="AT28" s="17"/>
      <c r="AU28" s="17"/>
      <c r="AV28" s="17"/>
      <c r="AW28" s="17"/>
      <c r="AX28" s="17"/>
      <c r="AY28" s="17"/>
    </row>
    <row r="29" ht="17.45" customHeight="1">
      <c r="A29" t="s" s="167">
        <v>1772</v>
      </c>
      <c r="B29" s="105"/>
      <c r="C29" s="108">
        <v>9</v>
      </c>
      <c r="D29" t="s" s="167">
        <v>1731</v>
      </c>
      <c r="E29" t="s" s="167">
        <v>1778</v>
      </c>
      <c r="F29" t="s" s="167">
        <v>1779</v>
      </c>
      <c r="G29" s="108">
        <v>1</v>
      </c>
      <c r="H29" s="105"/>
      <c r="I29" s="105"/>
      <c r="J29" s="105"/>
      <c r="K29" s="105"/>
      <c r="L29" s="105"/>
      <c r="M29" s="254"/>
      <c r="N29" s="254"/>
      <c r="O29" s="254"/>
      <c r="P29" s="255">
        <v>1</v>
      </c>
      <c r="Q29" s="255">
        <v>23</v>
      </c>
      <c r="R29" s="307"/>
      <c r="S29" s="255">
        <v>1</v>
      </c>
      <c r="T29" s="105"/>
      <c r="U29" s="254"/>
      <c r="V29" s="254"/>
      <c r="W29" s="254"/>
      <c r="X29" s="105"/>
      <c r="Y29" s="105"/>
      <c r="Z29" s="105"/>
      <c r="AA29" s="105"/>
      <c r="AB29" s="105"/>
      <c r="AC29" s="108">
        <v>1</v>
      </c>
      <c r="AD29" s="105"/>
      <c r="AE29" s="105"/>
      <c r="AF29" s="251"/>
      <c r="AG29" s="115"/>
      <c r="AH29" s="17"/>
      <c r="AI29" s="17"/>
      <c r="AJ29" s="17"/>
      <c r="AK29" s="17"/>
      <c r="AL29" s="17"/>
      <c r="AM29" s="17"/>
      <c r="AN29" s="17"/>
      <c r="AO29" s="17"/>
      <c r="AP29" s="17"/>
      <c r="AQ29" s="17"/>
      <c r="AR29" s="17"/>
      <c r="AS29" s="17"/>
      <c r="AT29" s="17"/>
      <c r="AU29" s="17"/>
      <c r="AV29" s="17"/>
      <c r="AW29" s="17"/>
      <c r="AX29" s="17"/>
      <c r="AY29" s="17"/>
    </row>
    <row r="30" ht="17.45" customHeight="1">
      <c r="A30" t="s" s="167">
        <v>1780</v>
      </c>
      <c r="B30" s="105"/>
      <c r="C30" s="108">
        <v>11</v>
      </c>
      <c r="D30" t="s" s="167">
        <v>1731</v>
      </c>
      <c r="E30" t="s" s="167">
        <v>60</v>
      </c>
      <c r="F30" t="s" s="167">
        <v>1244</v>
      </c>
      <c r="G30" s="108">
        <v>1</v>
      </c>
      <c r="H30" s="105"/>
      <c r="I30" s="105"/>
      <c r="J30" s="105"/>
      <c r="K30" s="108">
        <v>1</v>
      </c>
      <c r="L30" s="105"/>
      <c r="M30" s="254"/>
      <c r="N30" s="254"/>
      <c r="O30" s="254"/>
      <c r="P30" s="254"/>
      <c r="Q30" s="255">
        <v>71</v>
      </c>
      <c r="R30" s="307"/>
      <c r="S30" s="254"/>
      <c r="T30" s="108">
        <v>1</v>
      </c>
      <c r="U30" s="254"/>
      <c r="V30" s="255">
        <v>3</v>
      </c>
      <c r="W30" s="255">
        <v>2</v>
      </c>
      <c r="X30" t="s" s="167">
        <v>589</v>
      </c>
      <c r="Y30" s="105"/>
      <c r="Z30" s="105"/>
      <c r="AA30" s="105"/>
      <c r="AB30" s="105"/>
      <c r="AC30" s="108">
        <v>1</v>
      </c>
      <c r="AD30" s="105"/>
      <c r="AE30" s="105"/>
      <c r="AF30" s="251"/>
      <c r="AG30" s="115"/>
      <c r="AH30" s="17"/>
      <c r="AI30" s="17"/>
      <c r="AJ30" s="17"/>
      <c r="AK30" s="17"/>
      <c r="AL30" s="17"/>
      <c r="AM30" s="17"/>
      <c r="AN30" s="17"/>
      <c r="AO30" s="17"/>
      <c r="AP30" s="17"/>
      <c r="AQ30" s="17"/>
      <c r="AR30" s="17"/>
      <c r="AS30" s="17"/>
      <c r="AT30" s="17"/>
      <c r="AU30" s="17"/>
      <c r="AV30" s="17"/>
      <c r="AW30" s="17"/>
      <c r="AX30" s="17"/>
      <c r="AY30" s="17"/>
    </row>
    <row r="31" ht="17" customHeight="1">
      <c r="A31" t="s" s="167">
        <v>1780</v>
      </c>
      <c r="B31" s="105"/>
      <c r="C31" s="108">
        <v>11</v>
      </c>
      <c r="D31" t="s" s="167">
        <v>1731</v>
      </c>
      <c r="E31" t="s" s="167">
        <v>1781</v>
      </c>
      <c r="F31" t="s" s="167">
        <v>260</v>
      </c>
      <c r="G31" s="108">
        <v>1</v>
      </c>
      <c r="H31" s="105"/>
      <c r="I31" s="105"/>
      <c r="J31" s="105"/>
      <c r="K31" s="105"/>
      <c r="L31" s="105"/>
      <c r="M31" s="254"/>
      <c r="N31" s="254"/>
      <c r="O31" t="s" s="276">
        <v>961</v>
      </c>
      <c r="P31" s="254"/>
      <c r="Q31" s="255">
        <v>81</v>
      </c>
      <c r="R31" s="307"/>
      <c r="S31" s="255">
        <v>1</v>
      </c>
      <c r="T31" s="105"/>
      <c r="U31" s="254"/>
      <c r="V31" s="254"/>
      <c r="W31" s="254"/>
      <c r="X31" t="s" s="167">
        <v>589</v>
      </c>
      <c r="Y31" s="105"/>
      <c r="Z31" s="105"/>
      <c r="AA31" s="105"/>
      <c r="AB31" s="105"/>
      <c r="AC31" s="108">
        <v>1</v>
      </c>
      <c r="AD31" s="105"/>
      <c r="AE31" t="s" s="167">
        <v>1635</v>
      </c>
      <c r="AF31" s="251"/>
      <c r="AG31" s="115"/>
      <c r="AH31" s="17"/>
      <c r="AI31" s="17"/>
      <c r="AJ31" s="17"/>
      <c r="AK31" s="17"/>
      <c r="AL31" s="17"/>
      <c r="AM31" s="17"/>
      <c r="AN31" s="17"/>
      <c r="AO31" s="17"/>
      <c r="AP31" s="17"/>
      <c r="AQ31" s="17"/>
      <c r="AR31" s="17"/>
      <c r="AS31" s="17"/>
      <c r="AT31" s="17"/>
      <c r="AU31" s="17"/>
      <c r="AV31" s="17"/>
      <c r="AW31" s="17"/>
      <c r="AX31" s="17"/>
      <c r="AY31" s="17"/>
    </row>
    <row r="32" ht="17.45" customHeight="1">
      <c r="A32" t="s" s="167">
        <v>1780</v>
      </c>
      <c r="B32" s="105"/>
      <c r="C32" s="108">
        <v>11</v>
      </c>
      <c r="D32" t="s" s="167">
        <v>1731</v>
      </c>
      <c r="E32" t="s" s="167">
        <v>325</v>
      </c>
      <c r="F32" t="s" s="167">
        <v>404</v>
      </c>
      <c r="G32" s="108">
        <v>1</v>
      </c>
      <c r="H32" s="105"/>
      <c r="I32" s="105"/>
      <c r="J32" s="105"/>
      <c r="K32" s="105"/>
      <c r="L32" s="105"/>
      <c r="M32" s="254"/>
      <c r="N32" s="254"/>
      <c r="O32" s="254"/>
      <c r="P32" s="255">
        <v>1</v>
      </c>
      <c r="Q32" s="255">
        <v>28</v>
      </c>
      <c r="R32" s="307"/>
      <c r="S32" s="255">
        <v>1</v>
      </c>
      <c r="T32" s="105"/>
      <c r="U32" s="254"/>
      <c r="V32" s="254"/>
      <c r="W32" s="254"/>
      <c r="X32" t="s" s="167">
        <v>322</v>
      </c>
      <c r="Y32" s="105"/>
      <c r="Z32" s="108">
        <v>1</v>
      </c>
      <c r="AA32" s="105"/>
      <c r="AB32" s="105"/>
      <c r="AC32" s="105"/>
      <c r="AD32" t="s" s="167">
        <v>1183</v>
      </c>
      <c r="AE32" s="105"/>
      <c r="AF32" s="251"/>
      <c r="AG32" s="115"/>
      <c r="AH32" s="17"/>
      <c r="AI32" s="17"/>
      <c r="AJ32" s="17"/>
      <c r="AK32" s="17"/>
      <c r="AL32" s="17"/>
      <c r="AM32" s="17"/>
      <c r="AN32" s="17"/>
      <c r="AO32" s="17"/>
      <c r="AP32" s="17"/>
      <c r="AQ32" s="17"/>
      <c r="AR32" s="17"/>
      <c r="AS32" s="17"/>
      <c r="AT32" s="17"/>
      <c r="AU32" s="17"/>
      <c r="AV32" s="17"/>
      <c r="AW32" s="17"/>
      <c r="AX32" s="17"/>
      <c r="AY32" s="17"/>
    </row>
    <row r="33" ht="17.45" customHeight="1">
      <c r="A33" t="s" s="167">
        <v>1782</v>
      </c>
      <c r="B33" s="105"/>
      <c r="C33" s="108">
        <v>13</v>
      </c>
      <c r="D33" t="s" s="167">
        <v>1731</v>
      </c>
      <c r="E33" t="s" s="167">
        <v>1783</v>
      </c>
      <c r="F33" t="s" s="167">
        <v>1784</v>
      </c>
      <c r="G33" s="105"/>
      <c r="H33" s="108">
        <v>1</v>
      </c>
      <c r="I33" s="105"/>
      <c r="J33" s="105"/>
      <c r="K33" s="108">
        <v>1</v>
      </c>
      <c r="L33" s="105"/>
      <c r="M33" s="254"/>
      <c r="N33" s="254"/>
      <c r="O33" s="254"/>
      <c r="P33" s="254"/>
      <c r="Q33" s="255">
        <v>71</v>
      </c>
      <c r="R33" s="307"/>
      <c r="S33" s="254"/>
      <c r="T33" s="108">
        <v>1</v>
      </c>
      <c r="U33" s="254"/>
      <c r="V33" s="254"/>
      <c r="W33" s="254"/>
      <c r="X33" t="s" s="167">
        <v>1785</v>
      </c>
      <c r="Y33" s="105"/>
      <c r="Z33" s="105"/>
      <c r="AA33" s="105"/>
      <c r="AB33" s="105"/>
      <c r="AC33" s="105"/>
      <c r="AD33" t="s" s="167">
        <v>400</v>
      </c>
      <c r="AE33" s="105"/>
      <c r="AF33" s="251"/>
      <c r="AG33" s="115"/>
      <c r="AH33" s="17"/>
      <c r="AI33" s="17"/>
      <c r="AJ33" s="17"/>
      <c r="AK33" s="17"/>
      <c r="AL33" s="17"/>
      <c r="AM33" s="17"/>
      <c r="AN33" s="17"/>
      <c r="AO33" s="17"/>
      <c r="AP33" s="17"/>
      <c r="AQ33" s="17"/>
      <c r="AR33" s="17"/>
      <c r="AS33" s="17"/>
      <c r="AT33" s="17"/>
      <c r="AU33" s="17"/>
      <c r="AV33" s="17"/>
      <c r="AW33" s="17"/>
      <c r="AX33" s="17"/>
      <c r="AY33" s="17"/>
    </row>
    <row r="34" ht="17.45" customHeight="1">
      <c r="A34" t="s" s="167">
        <v>1782</v>
      </c>
      <c r="B34" s="105"/>
      <c r="C34" s="108">
        <v>13</v>
      </c>
      <c r="D34" t="s" s="167">
        <v>1731</v>
      </c>
      <c r="E34" t="s" s="167">
        <v>1783</v>
      </c>
      <c r="F34" t="s" s="167">
        <v>1786</v>
      </c>
      <c r="G34" s="105"/>
      <c r="H34" s="108">
        <v>1</v>
      </c>
      <c r="I34" s="105"/>
      <c r="J34" s="105"/>
      <c r="K34" s="105"/>
      <c r="L34" s="105"/>
      <c r="M34" s="105"/>
      <c r="N34" s="108">
        <v>1</v>
      </c>
      <c r="O34" s="105"/>
      <c r="P34" s="105"/>
      <c r="Q34" s="255">
        <v>39</v>
      </c>
      <c r="R34" s="308"/>
      <c r="S34" s="255">
        <v>1</v>
      </c>
      <c r="T34" s="105"/>
      <c r="U34" s="105"/>
      <c r="V34" s="105"/>
      <c r="W34" s="105"/>
      <c r="X34" t="s" s="167">
        <v>581</v>
      </c>
      <c r="Y34" s="105"/>
      <c r="Z34" s="108">
        <v>1</v>
      </c>
      <c r="AA34" s="105"/>
      <c r="AB34" s="108">
        <v>1</v>
      </c>
      <c r="AC34" s="105"/>
      <c r="AD34" t="s" s="167">
        <v>400</v>
      </c>
      <c r="AE34" s="105"/>
      <c r="AF34" s="251"/>
      <c r="AG34" s="115"/>
      <c r="AH34" s="17"/>
      <c r="AI34" s="17"/>
      <c r="AJ34" s="17"/>
      <c r="AK34" s="17"/>
      <c r="AL34" s="17"/>
      <c r="AM34" s="17"/>
      <c r="AN34" s="17"/>
      <c r="AO34" s="17"/>
      <c r="AP34" s="17"/>
      <c r="AQ34" s="17"/>
      <c r="AR34" s="17"/>
      <c r="AS34" s="17"/>
      <c r="AT34" s="17"/>
      <c r="AU34" s="17"/>
      <c r="AV34" s="17"/>
      <c r="AW34" s="17"/>
      <c r="AX34" s="17"/>
      <c r="AY34" s="17"/>
    </row>
    <row r="35" ht="17.45" customHeight="1">
      <c r="A35" t="s" s="167">
        <v>1787</v>
      </c>
      <c r="B35" s="105"/>
      <c r="C35" s="108">
        <v>15</v>
      </c>
      <c r="D35" t="s" s="167">
        <v>1731</v>
      </c>
      <c r="E35" t="s" s="167">
        <v>1398</v>
      </c>
      <c r="F35" t="s" s="167">
        <v>811</v>
      </c>
      <c r="G35" s="105"/>
      <c r="H35" s="108">
        <v>1</v>
      </c>
      <c r="I35" s="105"/>
      <c r="J35" s="105"/>
      <c r="K35" s="108">
        <v>1</v>
      </c>
      <c r="L35" s="105"/>
      <c r="M35" s="254"/>
      <c r="N35" s="254"/>
      <c r="O35" s="254"/>
      <c r="P35" s="254"/>
      <c r="Q35" s="255">
        <v>39</v>
      </c>
      <c r="R35" s="307">
        <v>1</v>
      </c>
      <c r="S35" s="254"/>
      <c r="T35" s="202"/>
      <c r="U35" s="254"/>
      <c r="V35" s="105"/>
      <c r="W35" s="105"/>
      <c r="X35" t="s" s="167">
        <v>1788</v>
      </c>
      <c r="Y35" s="105"/>
      <c r="Z35" s="108">
        <v>1</v>
      </c>
      <c r="AA35" s="105"/>
      <c r="AB35" s="105"/>
      <c r="AC35" s="108">
        <v>1</v>
      </c>
      <c r="AD35" s="105"/>
      <c r="AE35" s="105"/>
      <c r="AF35" s="251"/>
      <c r="AG35" s="115"/>
      <c r="AH35" s="17"/>
      <c r="AI35" s="17"/>
      <c r="AJ35" s="17"/>
      <c r="AK35" s="17"/>
      <c r="AL35" s="17"/>
      <c r="AM35" s="17"/>
      <c r="AN35" s="17"/>
      <c r="AO35" s="17"/>
      <c r="AP35" s="17"/>
      <c r="AQ35" s="17"/>
      <c r="AR35" s="17"/>
      <c r="AS35" s="17"/>
      <c r="AT35" s="17"/>
      <c r="AU35" s="17"/>
      <c r="AV35" s="17"/>
      <c r="AW35" s="17"/>
      <c r="AX35" s="17"/>
      <c r="AY35" s="17"/>
    </row>
    <row r="36" ht="17.45" customHeight="1">
      <c r="A36" t="s" s="167">
        <v>1787</v>
      </c>
      <c r="B36" s="105"/>
      <c r="C36" s="108">
        <v>15</v>
      </c>
      <c r="D36" t="s" s="167">
        <v>1731</v>
      </c>
      <c r="E36" t="s" s="167">
        <v>1398</v>
      </c>
      <c r="F36" t="s" s="167">
        <v>696</v>
      </c>
      <c r="G36" s="108">
        <v>1</v>
      </c>
      <c r="H36" s="105"/>
      <c r="I36" s="105"/>
      <c r="J36" s="105"/>
      <c r="K36" s="105"/>
      <c r="L36" s="108">
        <v>1</v>
      </c>
      <c r="M36" s="254"/>
      <c r="N36" s="254"/>
      <c r="O36" s="254"/>
      <c r="P36" s="254"/>
      <c r="Q36" s="255">
        <v>40</v>
      </c>
      <c r="R36" s="307">
        <v>1</v>
      </c>
      <c r="S36" s="254"/>
      <c r="T36" s="105"/>
      <c r="U36" s="255">
        <v>18</v>
      </c>
      <c r="V36" s="255">
        <v>4</v>
      </c>
      <c r="W36" s="255">
        <v>4</v>
      </c>
      <c r="X36" s="105"/>
      <c r="Y36" s="105"/>
      <c r="Z36" s="105"/>
      <c r="AA36" s="105"/>
      <c r="AB36" s="105"/>
      <c r="AC36" s="108">
        <v>1</v>
      </c>
      <c r="AD36" s="105"/>
      <c r="AE36" s="105"/>
      <c r="AF36" s="251"/>
      <c r="AG36" s="115"/>
      <c r="AH36" s="17"/>
      <c r="AI36" s="17"/>
      <c r="AJ36" s="17"/>
      <c r="AK36" s="17"/>
      <c r="AL36" s="17"/>
      <c r="AM36" s="17"/>
      <c r="AN36" s="17"/>
      <c r="AO36" s="17"/>
      <c r="AP36" s="17"/>
      <c r="AQ36" s="17"/>
      <c r="AR36" s="17"/>
      <c r="AS36" s="17"/>
      <c r="AT36" s="17"/>
      <c r="AU36" s="17"/>
      <c r="AV36" s="17"/>
      <c r="AW36" s="17"/>
      <c r="AX36" s="17"/>
      <c r="AY36" s="17"/>
    </row>
    <row r="37" ht="17.45" customHeight="1">
      <c r="A37" t="s" s="167">
        <v>1787</v>
      </c>
      <c r="B37" s="105"/>
      <c r="C37" s="108">
        <v>15</v>
      </c>
      <c r="D37" t="s" s="167">
        <v>1731</v>
      </c>
      <c r="E37" t="s" s="167">
        <v>1398</v>
      </c>
      <c r="F37" t="s" s="167">
        <v>811</v>
      </c>
      <c r="G37" s="105"/>
      <c r="H37" s="108">
        <v>1</v>
      </c>
      <c r="I37" s="105"/>
      <c r="J37" s="105"/>
      <c r="K37" s="105"/>
      <c r="L37" s="105"/>
      <c r="M37" s="254"/>
      <c r="N37" s="255">
        <v>1</v>
      </c>
      <c r="O37" s="254"/>
      <c r="P37" s="254"/>
      <c r="Q37" s="255">
        <v>17</v>
      </c>
      <c r="R37" s="307"/>
      <c r="S37" s="255">
        <v>1</v>
      </c>
      <c r="T37" s="105"/>
      <c r="U37" s="254"/>
      <c r="V37" s="105"/>
      <c r="W37" s="105"/>
      <c r="X37" t="s" s="167">
        <v>1789</v>
      </c>
      <c r="Y37" s="105"/>
      <c r="Z37" s="108">
        <v>1</v>
      </c>
      <c r="AA37" s="105"/>
      <c r="AB37" s="108">
        <v>1</v>
      </c>
      <c r="AC37" s="108">
        <v>1</v>
      </c>
      <c r="AD37" s="105"/>
      <c r="AE37" s="105"/>
      <c r="AF37" s="251"/>
      <c r="AG37" s="115"/>
      <c r="AH37" s="17"/>
      <c r="AI37" s="17"/>
      <c r="AJ37" s="17"/>
      <c r="AK37" s="17"/>
      <c r="AL37" s="17"/>
      <c r="AM37" s="17"/>
      <c r="AN37" s="17"/>
      <c r="AO37" s="17"/>
      <c r="AP37" s="17"/>
      <c r="AQ37" s="17"/>
      <c r="AR37" s="17"/>
      <c r="AS37" s="17"/>
      <c r="AT37" s="17"/>
      <c r="AU37" s="17"/>
      <c r="AV37" s="17"/>
      <c r="AW37" s="17"/>
      <c r="AX37" s="17"/>
      <c r="AY37" s="17"/>
    </row>
    <row r="38" ht="17.45" customHeight="1">
      <c r="A38" t="s" s="167">
        <v>1787</v>
      </c>
      <c r="B38" s="105"/>
      <c r="C38" s="108">
        <v>15</v>
      </c>
      <c r="D38" t="s" s="167">
        <v>1731</v>
      </c>
      <c r="E38" t="s" s="167">
        <v>1398</v>
      </c>
      <c r="F38" t="s" s="167">
        <v>1790</v>
      </c>
      <c r="G38" s="105"/>
      <c r="H38" s="105"/>
      <c r="I38" s="105"/>
      <c r="J38" s="108">
        <v>1</v>
      </c>
      <c r="K38" s="105"/>
      <c r="L38" s="105"/>
      <c r="M38" s="254"/>
      <c r="N38" s="255">
        <v>1</v>
      </c>
      <c r="O38" s="254"/>
      <c r="P38" s="254"/>
      <c r="Q38" s="255">
        <v>14</v>
      </c>
      <c r="R38" s="307"/>
      <c r="S38" s="254"/>
      <c r="T38" s="202"/>
      <c r="U38" s="254"/>
      <c r="V38" s="105"/>
      <c r="W38" s="105"/>
      <c r="X38" t="s" s="167">
        <v>1105</v>
      </c>
      <c r="Y38" s="105"/>
      <c r="Z38" s="105"/>
      <c r="AA38" s="105"/>
      <c r="AB38" s="105"/>
      <c r="AC38" s="108">
        <v>1</v>
      </c>
      <c r="AD38" s="105"/>
      <c r="AE38" s="105"/>
      <c r="AF38" s="251"/>
      <c r="AG38" s="115"/>
      <c r="AH38" s="17"/>
      <c r="AI38" s="17"/>
      <c r="AJ38" s="17"/>
      <c r="AK38" s="17"/>
      <c r="AL38" s="17"/>
      <c r="AM38" s="17"/>
      <c r="AN38" s="17"/>
      <c r="AO38" s="17"/>
      <c r="AP38" s="17"/>
      <c r="AQ38" s="17"/>
      <c r="AR38" s="17"/>
      <c r="AS38" s="17"/>
      <c r="AT38" s="17"/>
      <c r="AU38" s="17"/>
      <c r="AV38" s="17"/>
      <c r="AW38" s="17"/>
      <c r="AX38" s="17"/>
      <c r="AY38" s="17"/>
    </row>
    <row r="39" ht="17.45" customHeight="1">
      <c r="A39" t="s" s="167">
        <v>1787</v>
      </c>
      <c r="B39" s="105"/>
      <c r="C39" s="108">
        <v>15</v>
      </c>
      <c r="D39" t="s" s="167">
        <v>1731</v>
      </c>
      <c r="E39" t="s" s="167">
        <v>1398</v>
      </c>
      <c r="F39" t="s" s="167">
        <v>1791</v>
      </c>
      <c r="G39" s="105"/>
      <c r="H39" s="105"/>
      <c r="I39" s="105"/>
      <c r="J39" s="108">
        <v>1</v>
      </c>
      <c r="K39" s="105"/>
      <c r="L39" s="105"/>
      <c r="M39" s="254"/>
      <c r="N39" s="255">
        <v>1</v>
      </c>
      <c r="O39" s="254"/>
      <c r="P39" s="254"/>
      <c r="Q39" s="255">
        <v>11</v>
      </c>
      <c r="R39" s="307"/>
      <c r="S39" s="255">
        <v>1</v>
      </c>
      <c r="T39" s="105"/>
      <c r="U39" s="254"/>
      <c r="V39" s="105"/>
      <c r="W39" s="105"/>
      <c r="X39" t="s" s="167">
        <v>1105</v>
      </c>
      <c r="Y39" s="105"/>
      <c r="Z39" s="105"/>
      <c r="AA39" s="105"/>
      <c r="AB39" s="108">
        <v>1</v>
      </c>
      <c r="AC39" s="108">
        <v>1</v>
      </c>
      <c r="AD39" s="105"/>
      <c r="AE39" s="105"/>
      <c r="AF39" s="251"/>
      <c r="AG39" s="115"/>
      <c r="AH39" s="17"/>
      <c r="AI39" s="17"/>
      <c r="AJ39" s="17"/>
      <c r="AK39" s="17"/>
      <c r="AL39" s="17"/>
      <c r="AM39" s="17"/>
      <c r="AN39" s="17"/>
      <c r="AO39" s="17"/>
      <c r="AP39" s="17"/>
      <c r="AQ39" s="17"/>
      <c r="AR39" s="17"/>
      <c r="AS39" s="17"/>
      <c r="AT39" s="17"/>
      <c r="AU39" s="17"/>
      <c r="AV39" s="17"/>
      <c r="AW39" s="17"/>
      <c r="AX39" s="17"/>
      <c r="AY39" s="17"/>
    </row>
    <row r="40" ht="17.45" customHeight="1">
      <c r="A40" t="s" s="167">
        <v>1787</v>
      </c>
      <c r="B40" s="105"/>
      <c r="C40" s="108">
        <v>15</v>
      </c>
      <c r="D40" t="s" s="167">
        <v>1731</v>
      </c>
      <c r="E40" t="s" s="167">
        <v>1398</v>
      </c>
      <c r="F40" t="s" s="167">
        <v>1792</v>
      </c>
      <c r="G40" s="105"/>
      <c r="H40" s="105"/>
      <c r="I40" s="105"/>
      <c r="J40" s="108">
        <v>1</v>
      </c>
      <c r="K40" s="105"/>
      <c r="L40" s="105"/>
      <c r="M40" s="254"/>
      <c r="N40" s="255">
        <v>1</v>
      </c>
      <c r="O40" s="254"/>
      <c r="P40" s="254"/>
      <c r="Q40" s="255">
        <v>9</v>
      </c>
      <c r="R40" s="307"/>
      <c r="S40" s="254"/>
      <c r="T40" s="105"/>
      <c r="U40" s="254"/>
      <c r="V40" s="105"/>
      <c r="W40" s="105"/>
      <c r="X40" t="s" s="167">
        <v>1105</v>
      </c>
      <c r="Y40" s="105"/>
      <c r="Z40" s="105"/>
      <c r="AA40" s="105"/>
      <c r="AB40" s="105"/>
      <c r="AC40" s="108">
        <v>1</v>
      </c>
      <c r="AD40" s="105"/>
      <c r="AE40" s="105"/>
      <c r="AF40" s="251"/>
      <c r="AG40" s="115"/>
      <c r="AH40" s="17"/>
      <c r="AI40" s="17"/>
      <c r="AJ40" s="17"/>
      <c r="AK40" s="17"/>
      <c r="AL40" s="17"/>
      <c r="AM40" s="17"/>
      <c r="AN40" s="17"/>
      <c r="AO40" s="17"/>
      <c r="AP40" s="17"/>
      <c r="AQ40" s="17"/>
      <c r="AR40" s="17"/>
      <c r="AS40" s="17"/>
      <c r="AT40" s="17"/>
      <c r="AU40" s="17"/>
      <c r="AV40" s="17"/>
      <c r="AW40" s="17"/>
      <c r="AX40" s="17"/>
      <c r="AY40" s="17"/>
    </row>
    <row r="41" ht="17.45" customHeight="1">
      <c r="A41" t="s" s="167">
        <v>1787</v>
      </c>
      <c r="B41" s="105"/>
      <c r="C41" s="108">
        <v>15</v>
      </c>
      <c r="D41" t="s" s="167">
        <v>1731</v>
      </c>
      <c r="E41" t="s" s="167">
        <v>1793</v>
      </c>
      <c r="F41" t="s" s="167">
        <v>241</v>
      </c>
      <c r="G41" s="108">
        <v>1</v>
      </c>
      <c r="H41" s="105"/>
      <c r="I41" s="105"/>
      <c r="J41" s="105"/>
      <c r="K41" s="105"/>
      <c r="L41" s="105"/>
      <c r="M41" s="254"/>
      <c r="N41" s="254"/>
      <c r="O41" s="254"/>
      <c r="P41" s="255">
        <v>1</v>
      </c>
      <c r="Q41" s="255">
        <v>21</v>
      </c>
      <c r="R41" s="307"/>
      <c r="S41" s="255">
        <v>1</v>
      </c>
      <c r="T41" s="105"/>
      <c r="U41" s="254"/>
      <c r="V41" s="105"/>
      <c r="W41" s="105"/>
      <c r="X41" t="s" s="167">
        <v>178</v>
      </c>
      <c r="Y41" s="105"/>
      <c r="Z41" s="108">
        <v>1</v>
      </c>
      <c r="AA41" s="105"/>
      <c r="AB41" s="105"/>
      <c r="AC41" s="105"/>
      <c r="AD41" t="s" s="167">
        <v>429</v>
      </c>
      <c r="AE41" s="105"/>
      <c r="AF41" s="251"/>
      <c r="AG41" s="115"/>
      <c r="AH41" s="17"/>
      <c r="AI41" s="17"/>
      <c r="AJ41" s="17"/>
      <c r="AK41" s="17"/>
      <c r="AL41" s="17"/>
      <c r="AM41" s="17"/>
      <c r="AN41" s="17"/>
      <c r="AO41" s="17"/>
      <c r="AP41" s="17"/>
      <c r="AQ41" s="17"/>
      <c r="AR41" s="17"/>
      <c r="AS41" s="17"/>
      <c r="AT41" s="17"/>
      <c r="AU41" s="17"/>
      <c r="AV41" s="17"/>
      <c r="AW41" s="17"/>
      <c r="AX41" s="17"/>
      <c r="AY41" s="17"/>
    </row>
    <row r="42" ht="17.45" customHeight="1">
      <c r="A42" t="s" s="167">
        <v>1794</v>
      </c>
      <c r="B42" s="105"/>
      <c r="C42" s="108">
        <v>17</v>
      </c>
      <c r="D42" t="s" s="167">
        <v>1731</v>
      </c>
      <c r="E42" t="s" s="167">
        <v>1795</v>
      </c>
      <c r="F42" t="s" s="167">
        <v>1337</v>
      </c>
      <c r="G42" s="105"/>
      <c r="H42" s="108">
        <v>1</v>
      </c>
      <c r="I42" s="105"/>
      <c r="J42" s="105"/>
      <c r="K42" s="108">
        <v>1</v>
      </c>
      <c r="L42" s="105"/>
      <c r="M42" s="105"/>
      <c r="N42" s="105"/>
      <c r="O42" s="105"/>
      <c r="P42" s="105"/>
      <c r="Q42" s="255">
        <v>44</v>
      </c>
      <c r="R42" s="308"/>
      <c r="S42" s="255">
        <v>1</v>
      </c>
      <c r="T42" s="105"/>
      <c r="U42" s="105"/>
      <c r="V42" s="105"/>
      <c r="W42" s="105"/>
      <c r="X42" t="s" s="167">
        <v>1796</v>
      </c>
      <c r="Y42" s="105"/>
      <c r="Z42" s="108">
        <v>1</v>
      </c>
      <c r="AA42" s="108">
        <v>1</v>
      </c>
      <c r="AB42" s="105"/>
      <c r="AC42" s="105"/>
      <c r="AD42" t="s" s="167">
        <v>1437</v>
      </c>
      <c r="AE42" s="105"/>
      <c r="AF42" s="251"/>
      <c r="AG42" s="115"/>
      <c r="AH42" s="17"/>
      <c r="AI42" s="17"/>
      <c r="AJ42" s="17"/>
      <c r="AK42" s="17"/>
      <c r="AL42" s="17"/>
      <c r="AM42" s="17"/>
      <c r="AN42" s="17"/>
      <c r="AO42" s="17"/>
      <c r="AP42" s="17"/>
      <c r="AQ42" s="17"/>
      <c r="AR42" s="17"/>
      <c r="AS42" s="17"/>
      <c r="AT42" s="17"/>
      <c r="AU42" s="17"/>
      <c r="AV42" s="17"/>
      <c r="AW42" s="17"/>
      <c r="AX42" s="17"/>
      <c r="AY42" s="17"/>
    </row>
    <row r="43" ht="17.45" customHeight="1">
      <c r="A43" t="s" s="167">
        <v>1794</v>
      </c>
      <c r="B43" s="105"/>
      <c r="C43" s="108">
        <v>17</v>
      </c>
      <c r="D43" t="s" s="167">
        <v>1731</v>
      </c>
      <c r="E43" t="s" s="167">
        <v>1795</v>
      </c>
      <c r="F43" t="s" s="167">
        <v>1227</v>
      </c>
      <c r="G43" s="108">
        <v>1</v>
      </c>
      <c r="H43" s="105"/>
      <c r="I43" s="105"/>
      <c r="J43" s="105"/>
      <c r="K43" s="105"/>
      <c r="L43" s="105"/>
      <c r="M43" s="105"/>
      <c r="N43" s="105"/>
      <c r="O43" t="s" s="167">
        <v>961</v>
      </c>
      <c r="P43" s="105"/>
      <c r="Q43" s="308">
        <v>46</v>
      </c>
      <c r="R43" s="308"/>
      <c r="S43" s="255">
        <v>1</v>
      </c>
      <c r="T43" s="105"/>
      <c r="U43" s="105"/>
      <c r="V43" s="105"/>
      <c r="W43" s="105"/>
      <c r="X43" t="s" s="167">
        <v>1797</v>
      </c>
      <c r="Y43" s="105"/>
      <c r="Z43" s="108">
        <v>1</v>
      </c>
      <c r="AA43" s="105"/>
      <c r="AB43" s="105"/>
      <c r="AC43" s="105"/>
      <c r="AD43" t="s" s="167">
        <v>1437</v>
      </c>
      <c r="AE43" s="105"/>
      <c r="AF43" s="251"/>
      <c r="AG43" s="115"/>
      <c r="AH43" s="17"/>
      <c r="AI43" s="17"/>
      <c r="AJ43" s="17"/>
      <c r="AK43" s="17"/>
      <c r="AL43" s="17"/>
      <c r="AM43" s="17"/>
      <c r="AN43" s="17"/>
      <c r="AO43" s="17"/>
      <c r="AP43" s="17"/>
      <c r="AQ43" s="17"/>
      <c r="AR43" s="17"/>
      <c r="AS43" s="17"/>
      <c r="AT43" s="17"/>
      <c r="AU43" s="17"/>
      <c r="AV43" s="17"/>
      <c r="AW43" s="17"/>
      <c r="AX43" s="17"/>
      <c r="AY43" s="17"/>
    </row>
    <row r="44" ht="17.45" customHeight="1">
      <c r="A44" t="s" s="167">
        <v>1794</v>
      </c>
      <c r="B44" s="105"/>
      <c r="C44" s="108">
        <v>17</v>
      </c>
      <c r="D44" t="s" s="167">
        <v>1731</v>
      </c>
      <c r="E44" t="s" s="167">
        <v>1795</v>
      </c>
      <c r="F44" t="s" s="167">
        <v>1353</v>
      </c>
      <c r="G44" s="108">
        <v>1</v>
      </c>
      <c r="H44" s="313"/>
      <c r="I44" s="313"/>
      <c r="J44" s="105"/>
      <c r="K44" s="105"/>
      <c r="L44" s="105"/>
      <c r="M44" s="105"/>
      <c r="N44" s="105"/>
      <c r="O44" t="s" s="167">
        <v>1798</v>
      </c>
      <c r="P44" s="105"/>
      <c r="Q44" s="308">
        <v>74</v>
      </c>
      <c r="R44" s="308"/>
      <c r="S44" s="254"/>
      <c r="T44" s="308">
        <v>1</v>
      </c>
      <c r="U44" s="105"/>
      <c r="V44" s="105"/>
      <c r="W44" s="105"/>
      <c r="X44" t="s" s="167">
        <v>1799</v>
      </c>
      <c r="Y44" t="s" s="167">
        <v>1800</v>
      </c>
      <c r="Z44" s="108">
        <v>1</v>
      </c>
      <c r="AA44" s="105"/>
      <c r="AB44" s="108">
        <v>1</v>
      </c>
      <c r="AC44" s="105"/>
      <c r="AD44" t="s" s="167">
        <v>1437</v>
      </c>
      <c r="AE44" s="105"/>
      <c r="AF44" s="251"/>
      <c r="AG44" s="115"/>
      <c r="AH44" s="17"/>
      <c r="AI44" s="17"/>
      <c r="AJ44" s="17"/>
      <c r="AK44" s="17"/>
      <c r="AL44" s="17"/>
      <c r="AM44" s="17"/>
      <c r="AN44" s="17"/>
      <c r="AO44" s="17"/>
      <c r="AP44" s="17"/>
      <c r="AQ44" s="17"/>
      <c r="AR44" s="17"/>
      <c r="AS44" s="17"/>
      <c r="AT44" s="17"/>
      <c r="AU44" s="17"/>
      <c r="AV44" s="17"/>
      <c r="AW44" s="17"/>
      <c r="AX44" s="17"/>
      <c r="AY44" s="17"/>
    </row>
    <row r="45" ht="17.45" customHeight="1">
      <c r="A45" t="s" s="167">
        <v>1801</v>
      </c>
      <c r="B45" s="105"/>
      <c r="C45" s="108">
        <v>19</v>
      </c>
      <c r="D45" t="s" s="167">
        <v>1731</v>
      </c>
      <c r="E45" t="s" s="167">
        <v>1802</v>
      </c>
      <c r="F45" t="s" s="167">
        <v>68</v>
      </c>
      <c r="G45" s="105"/>
      <c r="H45" s="108">
        <v>1</v>
      </c>
      <c r="I45" s="105"/>
      <c r="J45" s="105"/>
      <c r="K45" s="108">
        <v>1</v>
      </c>
      <c r="L45" s="105"/>
      <c r="M45" s="105"/>
      <c r="N45" s="105"/>
      <c r="O45" s="105"/>
      <c r="P45" s="105"/>
      <c r="Q45" s="255">
        <v>52</v>
      </c>
      <c r="R45" s="307">
        <v>1</v>
      </c>
      <c r="S45" s="254"/>
      <c r="T45" s="202"/>
      <c r="U45" s="105"/>
      <c r="V45" s="105"/>
      <c r="W45" s="105"/>
      <c r="X45" t="s" s="167">
        <v>1803</v>
      </c>
      <c r="Y45" t="s" s="167">
        <v>1804</v>
      </c>
      <c r="Z45" s="108">
        <v>1</v>
      </c>
      <c r="AA45" s="105"/>
      <c r="AB45" s="105"/>
      <c r="AC45" s="108">
        <v>1</v>
      </c>
      <c r="AD45" s="105"/>
      <c r="AE45" s="105"/>
      <c r="AF45" s="251"/>
      <c r="AG45" s="115"/>
      <c r="AH45" s="17"/>
      <c r="AI45" s="17"/>
      <c r="AJ45" s="17"/>
      <c r="AK45" s="17"/>
      <c r="AL45" s="17"/>
      <c r="AM45" s="17"/>
      <c r="AN45" s="17"/>
      <c r="AO45" s="17"/>
      <c r="AP45" s="17"/>
      <c r="AQ45" s="17"/>
      <c r="AR45" s="17"/>
      <c r="AS45" s="17"/>
      <c r="AT45" s="17"/>
      <c r="AU45" s="17"/>
      <c r="AV45" s="17"/>
      <c r="AW45" s="17"/>
      <c r="AX45" s="17"/>
      <c r="AY45" s="17"/>
    </row>
    <row r="46" ht="17.45" customHeight="1">
      <c r="A46" t="s" s="167">
        <v>1801</v>
      </c>
      <c r="B46" s="105"/>
      <c r="C46" s="108">
        <v>19</v>
      </c>
      <c r="D46" t="s" s="167">
        <v>1731</v>
      </c>
      <c r="E46" t="s" s="167">
        <v>1802</v>
      </c>
      <c r="F46" t="s" s="167">
        <v>1173</v>
      </c>
      <c r="G46" s="108">
        <v>1</v>
      </c>
      <c r="H46" s="105"/>
      <c r="I46" s="105"/>
      <c r="J46" s="105"/>
      <c r="K46" s="105"/>
      <c r="L46" s="108">
        <v>1</v>
      </c>
      <c r="M46" s="105"/>
      <c r="N46" s="105"/>
      <c r="O46" s="105"/>
      <c r="P46" s="105"/>
      <c r="Q46" s="255">
        <v>53</v>
      </c>
      <c r="R46" s="308">
        <v>1</v>
      </c>
      <c r="S46" s="254"/>
      <c r="T46" s="313"/>
      <c r="U46" s="108">
        <v>33</v>
      </c>
      <c r="V46" s="308">
        <v>11</v>
      </c>
      <c r="W46" s="308">
        <v>9</v>
      </c>
      <c r="X46" t="s" s="167">
        <v>1805</v>
      </c>
      <c r="Y46" t="s" s="167">
        <v>1806</v>
      </c>
      <c r="Z46" s="108">
        <v>1</v>
      </c>
      <c r="AA46" s="105"/>
      <c r="AB46" s="108">
        <v>1</v>
      </c>
      <c r="AC46" s="314">
        <v>1</v>
      </c>
      <c r="AD46" s="314"/>
      <c r="AE46" s="105"/>
      <c r="AF46" s="251"/>
      <c r="AG46" s="115"/>
      <c r="AH46" s="17"/>
      <c r="AI46" s="17"/>
      <c r="AJ46" s="17"/>
      <c r="AK46" s="17"/>
      <c r="AL46" s="17"/>
      <c r="AM46" s="17"/>
      <c r="AN46" s="17"/>
      <c r="AO46" s="17"/>
      <c r="AP46" s="17"/>
      <c r="AQ46" s="17"/>
      <c r="AR46" s="17"/>
      <c r="AS46" s="17"/>
      <c r="AT46" s="17"/>
      <c r="AU46" s="17"/>
      <c r="AV46" s="17"/>
      <c r="AW46" s="17"/>
      <c r="AX46" s="17"/>
      <c r="AY46" s="17"/>
    </row>
    <row r="47" ht="17.45" customHeight="1">
      <c r="A47" t="s" s="167">
        <v>1801</v>
      </c>
      <c r="B47" s="105"/>
      <c r="C47" s="108">
        <v>19</v>
      </c>
      <c r="D47" t="s" s="167">
        <v>1731</v>
      </c>
      <c r="E47" t="s" s="167">
        <v>1802</v>
      </c>
      <c r="F47" t="s" s="167">
        <v>284</v>
      </c>
      <c r="G47" s="108">
        <v>1</v>
      </c>
      <c r="H47" s="105"/>
      <c r="I47" s="105"/>
      <c r="J47" s="105"/>
      <c r="K47" s="105"/>
      <c r="L47" s="105"/>
      <c r="M47" s="108">
        <v>1</v>
      </c>
      <c r="N47" s="105"/>
      <c r="O47" s="105"/>
      <c r="P47" s="105"/>
      <c r="Q47" s="255">
        <v>24</v>
      </c>
      <c r="R47" s="307"/>
      <c r="S47" s="255">
        <v>1</v>
      </c>
      <c r="T47" s="105"/>
      <c r="U47" s="105"/>
      <c r="V47" s="105"/>
      <c r="W47" s="105"/>
      <c r="X47" t="s" s="167">
        <v>1807</v>
      </c>
      <c r="Y47" t="s" s="167">
        <v>1808</v>
      </c>
      <c r="Z47" s="108">
        <v>1</v>
      </c>
      <c r="AA47" s="105"/>
      <c r="AB47" s="108">
        <v>1</v>
      </c>
      <c r="AC47" s="108">
        <v>1</v>
      </c>
      <c r="AD47" s="105"/>
      <c r="AE47" s="105"/>
      <c r="AF47" s="251"/>
      <c r="AG47" s="115"/>
      <c r="AH47" s="17"/>
      <c r="AI47" s="17"/>
      <c r="AJ47" s="17"/>
      <c r="AK47" s="17"/>
      <c r="AL47" s="17"/>
      <c r="AM47" s="17"/>
      <c r="AN47" s="17"/>
      <c r="AO47" s="17"/>
      <c r="AP47" s="17"/>
      <c r="AQ47" s="17"/>
      <c r="AR47" s="17"/>
      <c r="AS47" s="17"/>
      <c r="AT47" s="17"/>
      <c r="AU47" s="17"/>
      <c r="AV47" s="17"/>
      <c r="AW47" s="17"/>
      <c r="AX47" s="17"/>
      <c r="AY47" s="17"/>
    </row>
    <row r="48" ht="17.45" customHeight="1">
      <c r="A48" t="s" s="167">
        <v>1801</v>
      </c>
      <c r="B48" s="105"/>
      <c r="C48" s="108">
        <v>19</v>
      </c>
      <c r="D48" t="s" s="167">
        <v>1731</v>
      </c>
      <c r="E48" t="s" s="167">
        <v>1802</v>
      </c>
      <c r="F48" t="s" s="167">
        <v>1809</v>
      </c>
      <c r="G48" s="108">
        <v>1</v>
      </c>
      <c r="H48" s="105"/>
      <c r="I48" s="105"/>
      <c r="J48" s="105"/>
      <c r="K48" s="105"/>
      <c r="L48" s="105"/>
      <c r="M48" s="108">
        <v>1</v>
      </c>
      <c r="N48" s="105"/>
      <c r="O48" s="105"/>
      <c r="P48" s="105"/>
      <c r="Q48" s="255">
        <v>23</v>
      </c>
      <c r="R48" s="308"/>
      <c r="S48" s="255">
        <v>1</v>
      </c>
      <c r="T48" s="105"/>
      <c r="U48" s="105"/>
      <c r="V48" s="105"/>
      <c r="W48" s="105"/>
      <c r="X48" t="s" s="167">
        <v>369</v>
      </c>
      <c r="Y48" t="s" s="167">
        <v>1810</v>
      </c>
      <c r="Z48" s="108">
        <v>1</v>
      </c>
      <c r="AA48" s="105"/>
      <c r="AB48" s="108">
        <v>1</v>
      </c>
      <c r="AC48" s="108">
        <v>1</v>
      </c>
      <c r="AD48" s="105"/>
      <c r="AE48" s="105"/>
      <c r="AF48" s="251"/>
      <c r="AG48" s="115"/>
      <c r="AH48" s="17"/>
      <c r="AI48" s="17"/>
      <c r="AJ48" s="17"/>
      <c r="AK48" s="17"/>
      <c r="AL48" s="17"/>
      <c r="AM48" s="17"/>
      <c r="AN48" s="17"/>
      <c r="AO48" s="17"/>
      <c r="AP48" s="17"/>
      <c r="AQ48" s="17"/>
      <c r="AR48" s="17"/>
      <c r="AS48" s="17"/>
      <c r="AT48" s="17"/>
      <c r="AU48" s="17"/>
      <c r="AV48" s="17"/>
      <c r="AW48" s="17"/>
      <c r="AX48" s="17"/>
      <c r="AY48" s="17"/>
    </row>
    <row r="49" ht="17.45" customHeight="1">
      <c r="A49" t="s" s="167">
        <v>1801</v>
      </c>
      <c r="B49" s="105"/>
      <c r="C49" s="108">
        <v>19</v>
      </c>
      <c r="D49" t="s" s="167">
        <v>1731</v>
      </c>
      <c r="E49" t="s" s="167">
        <v>1802</v>
      </c>
      <c r="F49" t="s" s="167">
        <v>1790</v>
      </c>
      <c r="G49" s="105"/>
      <c r="H49" s="108">
        <v>1</v>
      </c>
      <c r="I49" s="105"/>
      <c r="J49" s="105"/>
      <c r="K49" s="105"/>
      <c r="L49" s="105"/>
      <c r="M49" s="105"/>
      <c r="N49" s="108">
        <v>1</v>
      </c>
      <c r="O49" s="105"/>
      <c r="P49" s="105"/>
      <c r="Q49" s="255">
        <v>21</v>
      </c>
      <c r="R49" s="308"/>
      <c r="S49" s="255">
        <v>1</v>
      </c>
      <c r="T49" s="105"/>
      <c r="U49" s="105"/>
      <c r="V49" s="105"/>
      <c r="W49" s="105"/>
      <c r="X49" t="s" s="167">
        <v>1811</v>
      </c>
      <c r="Y49" t="s" s="167">
        <v>1812</v>
      </c>
      <c r="Z49" s="108">
        <v>1</v>
      </c>
      <c r="AA49" s="105"/>
      <c r="AB49" s="108">
        <v>1</v>
      </c>
      <c r="AC49" s="108">
        <v>1</v>
      </c>
      <c r="AD49" s="105"/>
      <c r="AE49" s="105"/>
      <c r="AF49" s="251"/>
      <c r="AG49" s="115"/>
      <c r="AH49" s="17"/>
      <c r="AI49" s="17"/>
      <c r="AJ49" s="17"/>
      <c r="AK49" s="17"/>
      <c r="AL49" s="17"/>
      <c r="AM49" s="17"/>
      <c r="AN49" s="17"/>
      <c r="AO49" s="17"/>
      <c r="AP49" s="17"/>
      <c r="AQ49" s="17"/>
      <c r="AR49" s="17"/>
      <c r="AS49" s="17"/>
      <c r="AT49" s="17"/>
      <c r="AU49" s="17"/>
      <c r="AV49" s="17"/>
      <c r="AW49" s="17"/>
      <c r="AX49" s="17"/>
      <c r="AY49" s="17"/>
    </row>
    <row r="50" ht="17.45" customHeight="1">
      <c r="A50" t="s" s="167">
        <v>1801</v>
      </c>
      <c r="B50" s="105"/>
      <c r="C50" s="108">
        <v>19</v>
      </c>
      <c r="D50" t="s" s="167">
        <v>1731</v>
      </c>
      <c r="E50" t="s" s="167">
        <v>1802</v>
      </c>
      <c r="F50" t="s" s="167">
        <v>170</v>
      </c>
      <c r="G50" s="108">
        <v>1</v>
      </c>
      <c r="H50" s="105"/>
      <c r="I50" s="105"/>
      <c r="J50" s="105"/>
      <c r="K50" s="105"/>
      <c r="L50" s="105"/>
      <c r="M50" s="108">
        <v>1</v>
      </c>
      <c r="N50" s="105"/>
      <c r="O50" s="105"/>
      <c r="P50" s="105"/>
      <c r="Q50" s="255">
        <v>17</v>
      </c>
      <c r="R50" s="308"/>
      <c r="S50" s="255">
        <v>1</v>
      </c>
      <c r="T50" s="105"/>
      <c r="U50" s="105"/>
      <c r="V50" s="105"/>
      <c r="W50" s="105"/>
      <c r="X50" t="s" s="167">
        <v>246</v>
      </c>
      <c r="Y50" s="105"/>
      <c r="Z50" s="105"/>
      <c r="AA50" s="105"/>
      <c r="AB50" s="105"/>
      <c r="AC50" s="108">
        <v>1</v>
      </c>
      <c r="AD50" s="105"/>
      <c r="AE50" s="105"/>
      <c r="AF50" s="251"/>
      <c r="AG50" s="115"/>
      <c r="AH50" s="17"/>
      <c r="AI50" s="17"/>
      <c r="AJ50" s="17"/>
      <c r="AK50" s="17"/>
      <c r="AL50" s="17"/>
      <c r="AM50" s="17"/>
      <c r="AN50" s="17"/>
      <c r="AO50" s="17"/>
      <c r="AP50" s="17"/>
      <c r="AQ50" s="17"/>
      <c r="AR50" s="17"/>
      <c r="AS50" s="17"/>
      <c r="AT50" s="17"/>
      <c r="AU50" s="17"/>
      <c r="AV50" s="17"/>
      <c r="AW50" s="17"/>
      <c r="AX50" s="17"/>
      <c r="AY50" s="17"/>
    </row>
    <row r="51" ht="17.45" customHeight="1">
      <c r="A51" t="s" s="167">
        <v>1801</v>
      </c>
      <c r="B51" s="105"/>
      <c r="C51" s="108">
        <v>19</v>
      </c>
      <c r="D51" t="s" s="167">
        <v>1731</v>
      </c>
      <c r="E51" t="s" s="167">
        <v>1802</v>
      </c>
      <c r="F51" t="s" s="167">
        <v>1029</v>
      </c>
      <c r="G51" s="108">
        <v>1</v>
      </c>
      <c r="H51" s="105"/>
      <c r="I51" s="105"/>
      <c r="J51" s="105"/>
      <c r="K51" s="105"/>
      <c r="L51" s="105"/>
      <c r="M51" s="108">
        <v>1</v>
      </c>
      <c r="N51" s="105"/>
      <c r="O51" s="105"/>
      <c r="P51" s="105"/>
      <c r="Q51" s="255">
        <v>14</v>
      </c>
      <c r="R51" s="308"/>
      <c r="S51" s="254"/>
      <c r="T51" s="105"/>
      <c r="U51" s="105"/>
      <c r="V51" s="105"/>
      <c r="W51" s="105"/>
      <c r="X51" t="s" s="167">
        <v>1105</v>
      </c>
      <c r="Y51" s="105"/>
      <c r="Z51" s="105"/>
      <c r="AA51" s="105"/>
      <c r="AB51" s="105"/>
      <c r="AC51" s="108">
        <v>1</v>
      </c>
      <c r="AD51" s="105"/>
      <c r="AE51" s="105"/>
      <c r="AF51" s="251"/>
      <c r="AG51" s="115"/>
      <c r="AH51" s="17"/>
      <c r="AI51" s="17"/>
      <c r="AJ51" s="17"/>
      <c r="AK51" s="17"/>
      <c r="AL51" s="17"/>
      <c r="AM51" s="17"/>
      <c r="AN51" s="17"/>
      <c r="AO51" s="17"/>
      <c r="AP51" s="17"/>
      <c r="AQ51" s="17"/>
      <c r="AR51" s="17"/>
      <c r="AS51" s="17"/>
      <c r="AT51" s="17"/>
      <c r="AU51" s="17"/>
      <c r="AV51" s="17"/>
      <c r="AW51" s="17"/>
      <c r="AX51" s="17"/>
      <c r="AY51" s="17"/>
    </row>
    <row r="52" ht="17.45" customHeight="1">
      <c r="A52" t="s" s="167">
        <v>1801</v>
      </c>
      <c r="B52" s="105"/>
      <c r="C52" s="108">
        <v>19</v>
      </c>
      <c r="D52" t="s" s="167">
        <v>1731</v>
      </c>
      <c r="E52" t="s" s="167">
        <v>1802</v>
      </c>
      <c r="F52" t="s" s="167">
        <v>68</v>
      </c>
      <c r="G52" s="105"/>
      <c r="H52" s="105"/>
      <c r="I52" s="105"/>
      <c r="J52" s="108">
        <v>1</v>
      </c>
      <c r="K52" s="105"/>
      <c r="L52" s="105"/>
      <c r="M52" s="105"/>
      <c r="N52" s="108">
        <v>1</v>
      </c>
      <c r="O52" s="105"/>
      <c r="P52" s="105"/>
      <c r="Q52" s="255">
        <v>12</v>
      </c>
      <c r="R52" s="308"/>
      <c r="S52" s="254"/>
      <c r="T52" s="105"/>
      <c r="U52" s="105"/>
      <c r="V52" s="105"/>
      <c r="W52" s="105"/>
      <c r="X52" s="105"/>
      <c r="Y52" s="105"/>
      <c r="Z52" s="105"/>
      <c r="AA52" s="105"/>
      <c r="AB52" s="105"/>
      <c r="AC52" s="108">
        <v>1</v>
      </c>
      <c r="AD52" s="105"/>
      <c r="AE52" s="105"/>
      <c r="AF52" s="251"/>
      <c r="AG52" s="115"/>
      <c r="AH52" s="17"/>
      <c r="AI52" s="17"/>
      <c r="AJ52" s="17"/>
      <c r="AK52" s="17"/>
      <c r="AL52" s="17"/>
      <c r="AM52" s="17"/>
      <c r="AN52" s="17"/>
      <c r="AO52" s="17"/>
      <c r="AP52" s="17"/>
      <c r="AQ52" s="17"/>
      <c r="AR52" s="17"/>
      <c r="AS52" s="17"/>
      <c r="AT52" s="17"/>
      <c r="AU52" s="17"/>
      <c r="AV52" s="17"/>
      <c r="AW52" s="17"/>
      <c r="AX52" s="17"/>
      <c r="AY52" s="17"/>
    </row>
    <row r="53" ht="17.45" customHeight="1">
      <c r="A53" t="s" s="167">
        <v>1801</v>
      </c>
      <c r="B53" s="105"/>
      <c r="C53" s="108">
        <v>19</v>
      </c>
      <c r="D53" t="s" s="167">
        <v>1731</v>
      </c>
      <c r="E53" t="s" s="167">
        <v>1802</v>
      </c>
      <c r="F53" t="s" s="167">
        <v>1813</v>
      </c>
      <c r="G53" s="105"/>
      <c r="H53" s="105"/>
      <c r="I53" s="108">
        <v>1</v>
      </c>
      <c r="J53" s="105"/>
      <c r="K53" s="105"/>
      <c r="L53" s="105"/>
      <c r="M53" s="108">
        <v>1</v>
      </c>
      <c r="N53" s="105"/>
      <c r="O53" s="105"/>
      <c r="P53" s="105"/>
      <c r="Q53" s="255">
        <v>9</v>
      </c>
      <c r="R53" s="308"/>
      <c r="S53" s="254"/>
      <c r="T53" s="105"/>
      <c r="U53" s="105"/>
      <c r="V53" s="105"/>
      <c r="W53" s="105"/>
      <c r="X53" s="105"/>
      <c r="Y53" s="105"/>
      <c r="Z53" s="105"/>
      <c r="AA53" s="105"/>
      <c r="AB53" s="105"/>
      <c r="AC53" s="108">
        <v>1</v>
      </c>
      <c r="AD53" s="105"/>
      <c r="AE53" s="105"/>
      <c r="AF53" s="251"/>
      <c r="AG53" s="115"/>
      <c r="AH53" s="17"/>
      <c r="AI53" s="17"/>
      <c r="AJ53" s="17"/>
      <c r="AK53" s="17"/>
      <c r="AL53" s="17"/>
      <c r="AM53" s="17"/>
      <c r="AN53" s="17"/>
      <c r="AO53" s="17"/>
      <c r="AP53" s="17"/>
      <c r="AQ53" s="17"/>
      <c r="AR53" s="17"/>
      <c r="AS53" s="17"/>
      <c r="AT53" s="17"/>
      <c r="AU53" s="17"/>
      <c r="AV53" s="17"/>
      <c r="AW53" s="17"/>
      <c r="AX53" s="17"/>
      <c r="AY53" s="17"/>
    </row>
    <row r="54" ht="17.45" customHeight="1">
      <c r="A54" t="s" s="167">
        <v>1801</v>
      </c>
      <c r="B54" s="105"/>
      <c r="C54" s="108">
        <v>19</v>
      </c>
      <c r="D54" t="s" s="167">
        <v>1731</v>
      </c>
      <c r="E54" t="s" s="167">
        <v>1802</v>
      </c>
      <c r="F54" t="s" s="167">
        <v>1173</v>
      </c>
      <c r="G54" s="105"/>
      <c r="H54" s="105"/>
      <c r="I54" s="108">
        <v>1</v>
      </c>
      <c r="J54" s="105"/>
      <c r="K54" s="105"/>
      <c r="L54" s="105"/>
      <c r="M54" s="105"/>
      <c r="N54" s="105"/>
      <c r="O54" t="s" s="167">
        <v>1814</v>
      </c>
      <c r="P54" s="105"/>
      <c r="Q54" s="255">
        <v>2</v>
      </c>
      <c r="R54" s="308"/>
      <c r="S54" s="254"/>
      <c r="T54" s="105"/>
      <c r="U54" s="105"/>
      <c r="V54" s="105"/>
      <c r="W54" s="105"/>
      <c r="X54" s="105"/>
      <c r="Y54" s="105"/>
      <c r="Z54" s="105"/>
      <c r="AA54" s="105"/>
      <c r="AB54" s="105"/>
      <c r="AC54" s="108">
        <v>1</v>
      </c>
      <c r="AD54" s="105"/>
      <c r="AE54" s="105"/>
      <c r="AF54" s="251"/>
      <c r="AG54" s="115"/>
      <c r="AH54" s="17"/>
      <c r="AI54" s="17"/>
      <c r="AJ54" s="17"/>
      <c r="AK54" s="17"/>
      <c r="AL54" s="17"/>
      <c r="AM54" s="17"/>
      <c r="AN54" s="17"/>
      <c r="AO54" s="17"/>
      <c r="AP54" s="17"/>
      <c r="AQ54" s="17"/>
      <c r="AR54" s="17"/>
      <c r="AS54" s="17"/>
      <c r="AT54" s="17"/>
      <c r="AU54" s="17"/>
      <c r="AV54" s="17"/>
      <c r="AW54" s="17"/>
      <c r="AX54" s="17"/>
      <c r="AY54" s="17"/>
    </row>
    <row r="55" ht="17.45" customHeight="1">
      <c r="A55" t="s" s="167">
        <v>1815</v>
      </c>
      <c r="B55" s="105"/>
      <c r="C55" s="108">
        <v>21</v>
      </c>
      <c r="D55" t="s" s="167">
        <v>1731</v>
      </c>
      <c r="E55" t="s" s="167">
        <v>1816</v>
      </c>
      <c r="F55" t="s" s="167">
        <v>1817</v>
      </c>
      <c r="G55" s="105"/>
      <c r="H55" s="108">
        <v>1</v>
      </c>
      <c r="I55" s="105"/>
      <c r="J55" s="105"/>
      <c r="K55" s="108">
        <v>1</v>
      </c>
      <c r="L55" s="105"/>
      <c r="M55" s="105"/>
      <c r="N55" s="105"/>
      <c r="O55" s="105"/>
      <c r="P55" s="105"/>
      <c r="Q55" s="255">
        <v>53</v>
      </c>
      <c r="R55" s="308">
        <v>1</v>
      </c>
      <c r="S55" s="254"/>
      <c r="T55" s="105"/>
      <c r="U55" s="105"/>
      <c r="V55" s="105"/>
      <c r="W55" s="105"/>
      <c r="X55" t="s" s="167">
        <v>1818</v>
      </c>
      <c r="Y55" t="s" s="167">
        <v>1819</v>
      </c>
      <c r="Z55" s="108">
        <v>1</v>
      </c>
      <c r="AA55" s="105"/>
      <c r="AB55" s="108">
        <v>1</v>
      </c>
      <c r="AC55" s="108">
        <v>1</v>
      </c>
      <c r="AD55" s="105"/>
      <c r="AE55" s="105"/>
      <c r="AF55" s="251"/>
      <c r="AG55" s="115"/>
      <c r="AH55" s="17"/>
      <c r="AI55" s="17"/>
      <c r="AJ55" s="17"/>
      <c r="AK55" s="17"/>
      <c r="AL55" s="17"/>
      <c r="AM55" s="17"/>
      <c r="AN55" s="17"/>
      <c r="AO55" s="17"/>
      <c r="AP55" s="17"/>
      <c r="AQ55" s="17"/>
      <c r="AR55" s="17"/>
      <c r="AS55" s="17"/>
      <c r="AT55" s="17"/>
      <c r="AU55" s="17"/>
      <c r="AV55" s="17"/>
      <c r="AW55" s="17"/>
      <c r="AX55" s="17"/>
      <c r="AY55" s="17"/>
    </row>
    <row r="56" ht="17.45" customHeight="1">
      <c r="A56" t="s" s="167">
        <v>1815</v>
      </c>
      <c r="B56" s="105"/>
      <c r="C56" s="108">
        <v>21</v>
      </c>
      <c r="D56" t="s" s="167">
        <v>1731</v>
      </c>
      <c r="E56" t="s" s="167">
        <v>1816</v>
      </c>
      <c r="F56" t="s" s="167">
        <v>1231</v>
      </c>
      <c r="G56" s="108">
        <v>1</v>
      </c>
      <c r="H56" s="105"/>
      <c r="I56" s="105"/>
      <c r="J56" s="105"/>
      <c r="K56" s="105"/>
      <c r="L56" s="108">
        <v>1</v>
      </c>
      <c r="M56" s="105"/>
      <c r="N56" s="105"/>
      <c r="O56" s="105"/>
      <c r="P56" s="105"/>
      <c r="Q56" s="255">
        <v>50</v>
      </c>
      <c r="R56" s="308">
        <v>1</v>
      </c>
      <c r="S56" s="254"/>
      <c r="T56" s="105"/>
      <c r="U56" s="108">
        <v>24</v>
      </c>
      <c r="V56" s="108">
        <v>3</v>
      </c>
      <c r="W56" s="108">
        <v>3</v>
      </c>
      <c r="X56" s="105"/>
      <c r="Y56" s="105"/>
      <c r="Z56" s="105"/>
      <c r="AA56" s="105"/>
      <c r="AB56" s="105"/>
      <c r="AC56" s="105"/>
      <c r="AD56" t="s" s="167">
        <v>429</v>
      </c>
      <c r="AE56" s="105"/>
      <c r="AF56" s="251"/>
      <c r="AG56" s="115"/>
      <c r="AH56" s="17"/>
      <c r="AI56" s="17"/>
      <c r="AJ56" s="17"/>
      <c r="AK56" s="17"/>
      <c r="AL56" s="17"/>
      <c r="AM56" s="17"/>
      <c r="AN56" s="17"/>
      <c r="AO56" s="17"/>
      <c r="AP56" s="17"/>
      <c r="AQ56" s="17"/>
      <c r="AR56" s="17"/>
      <c r="AS56" s="17"/>
      <c r="AT56" s="17"/>
      <c r="AU56" s="17"/>
      <c r="AV56" s="17"/>
      <c r="AW56" s="17"/>
      <c r="AX56" s="17"/>
      <c r="AY56" s="17"/>
    </row>
    <row r="57" ht="17.45" customHeight="1">
      <c r="A57" t="s" s="167">
        <v>1815</v>
      </c>
      <c r="B57" s="105"/>
      <c r="C57" s="108">
        <v>21</v>
      </c>
      <c r="D57" t="s" s="167">
        <v>1731</v>
      </c>
      <c r="E57" t="s" s="167">
        <v>1816</v>
      </c>
      <c r="F57" t="s" s="167">
        <v>1820</v>
      </c>
      <c r="G57" s="105"/>
      <c r="H57" s="108">
        <v>1</v>
      </c>
      <c r="I57" s="105"/>
      <c r="J57" s="105"/>
      <c r="K57" s="105"/>
      <c r="L57" s="105"/>
      <c r="M57" s="105"/>
      <c r="N57" s="108">
        <v>1</v>
      </c>
      <c r="O57" s="105"/>
      <c r="P57" s="105"/>
      <c r="Q57" s="255">
        <v>19</v>
      </c>
      <c r="R57" s="308"/>
      <c r="S57" s="255">
        <v>1</v>
      </c>
      <c r="T57" s="105"/>
      <c r="U57" s="105"/>
      <c r="V57" s="105"/>
      <c r="W57" s="105"/>
      <c r="X57" t="s" s="167">
        <v>1821</v>
      </c>
      <c r="Y57" s="105"/>
      <c r="Z57" s="108">
        <v>1</v>
      </c>
      <c r="AA57" s="105"/>
      <c r="AB57" s="108">
        <v>1</v>
      </c>
      <c r="AC57" s="108">
        <v>1</v>
      </c>
      <c r="AD57" s="105"/>
      <c r="AE57" s="105"/>
      <c r="AF57" s="251"/>
      <c r="AG57" s="115"/>
      <c r="AH57" s="17"/>
      <c r="AI57" s="17"/>
      <c r="AJ57" s="17"/>
      <c r="AK57" s="17"/>
      <c r="AL57" s="17"/>
      <c r="AM57" s="17"/>
      <c r="AN57" s="17"/>
      <c r="AO57" s="17"/>
      <c r="AP57" s="17"/>
      <c r="AQ57" s="17"/>
      <c r="AR57" s="17"/>
      <c r="AS57" s="17"/>
      <c r="AT57" s="17"/>
      <c r="AU57" s="17"/>
      <c r="AV57" s="17"/>
      <c r="AW57" s="17"/>
      <c r="AX57" s="17"/>
      <c r="AY57" s="17"/>
    </row>
    <row r="58" ht="17.45" customHeight="1">
      <c r="A58" t="s" s="167">
        <v>1815</v>
      </c>
      <c r="B58" s="105"/>
      <c r="C58" s="108">
        <v>21</v>
      </c>
      <c r="D58" t="s" s="167">
        <v>1731</v>
      </c>
      <c r="E58" t="s" s="167">
        <v>1816</v>
      </c>
      <c r="F58" t="s" s="167">
        <v>1822</v>
      </c>
      <c r="G58" s="105"/>
      <c r="H58" s="105"/>
      <c r="I58" s="105"/>
      <c r="J58" s="108">
        <v>1</v>
      </c>
      <c r="K58" s="105"/>
      <c r="L58" s="105"/>
      <c r="M58" s="105"/>
      <c r="N58" s="108">
        <v>1</v>
      </c>
      <c r="O58" s="105"/>
      <c r="P58" s="105"/>
      <c r="Q58" s="255">
        <v>13</v>
      </c>
      <c r="R58" s="308"/>
      <c r="S58" s="254"/>
      <c r="T58" s="105"/>
      <c r="U58" s="105"/>
      <c r="V58" s="105"/>
      <c r="W58" s="105"/>
      <c r="X58" t="s" s="167">
        <v>1823</v>
      </c>
      <c r="Y58" s="105"/>
      <c r="Z58" s="105"/>
      <c r="AA58" s="105"/>
      <c r="AB58" s="105"/>
      <c r="AC58" s="108">
        <v>1</v>
      </c>
      <c r="AD58" s="105"/>
      <c r="AE58" s="105"/>
      <c r="AF58" s="251"/>
      <c r="AG58" s="115"/>
      <c r="AH58" s="17"/>
      <c r="AI58" s="17"/>
      <c r="AJ58" s="17"/>
      <c r="AK58" s="17"/>
      <c r="AL58" s="17"/>
      <c r="AM58" s="17"/>
      <c r="AN58" s="17"/>
      <c r="AO58" s="17"/>
      <c r="AP58" s="17"/>
      <c r="AQ58" s="17"/>
      <c r="AR58" s="17"/>
      <c r="AS58" s="17"/>
      <c r="AT58" s="17"/>
      <c r="AU58" s="17"/>
      <c r="AV58" s="17"/>
      <c r="AW58" s="17"/>
      <c r="AX58" s="17"/>
      <c r="AY58" s="17"/>
    </row>
    <row r="59" ht="17.45" customHeight="1">
      <c r="A59" t="s" s="167">
        <v>1815</v>
      </c>
      <c r="B59" s="105"/>
      <c r="C59" s="108">
        <v>21</v>
      </c>
      <c r="D59" t="s" s="167">
        <v>1731</v>
      </c>
      <c r="E59" t="s" s="167">
        <v>1824</v>
      </c>
      <c r="F59" t="s" s="167">
        <v>41</v>
      </c>
      <c r="G59" s="105"/>
      <c r="H59" s="108">
        <v>1</v>
      </c>
      <c r="I59" s="105"/>
      <c r="J59" s="105"/>
      <c r="K59" s="105"/>
      <c r="L59" s="105"/>
      <c r="M59" s="105"/>
      <c r="N59" s="105"/>
      <c r="O59" t="s" s="167">
        <v>1825</v>
      </c>
      <c r="P59" s="105"/>
      <c r="Q59" s="255">
        <v>21</v>
      </c>
      <c r="R59" s="308"/>
      <c r="S59" s="255">
        <v>1</v>
      </c>
      <c r="T59" s="105"/>
      <c r="U59" s="105"/>
      <c r="V59" s="105"/>
      <c r="W59" s="105"/>
      <c r="X59" t="s" s="167">
        <v>371</v>
      </c>
      <c r="Y59" t="s" s="167">
        <v>1826</v>
      </c>
      <c r="Z59" s="108">
        <v>1</v>
      </c>
      <c r="AA59" s="105"/>
      <c r="AB59" s="108">
        <v>1</v>
      </c>
      <c r="AC59" s="105"/>
      <c r="AD59" t="s" s="167">
        <v>1827</v>
      </c>
      <c r="AE59" s="105"/>
      <c r="AF59" s="251"/>
      <c r="AG59" s="115"/>
      <c r="AH59" s="17"/>
      <c r="AI59" s="17"/>
      <c r="AJ59" s="17"/>
      <c r="AK59" s="17"/>
      <c r="AL59" s="17"/>
      <c r="AM59" s="17"/>
      <c r="AN59" s="17"/>
      <c r="AO59" s="17"/>
      <c r="AP59" s="17"/>
      <c r="AQ59" s="17"/>
      <c r="AR59" s="17"/>
      <c r="AS59" s="17"/>
      <c r="AT59" s="17"/>
      <c r="AU59" s="17"/>
      <c r="AV59" s="17"/>
      <c r="AW59" s="17"/>
      <c r="AX59" s="17"/>
      <c r="AY59" s="17"/>
    </row>
    <row r="60" ht="17.45" customHeight="1">
      <c r="A60" t="s" s="167">
        <v>1815</v>
      </c>
      <c r="B60" s="105"/>
      <c r="C60" s="108">
        <v>21</v>
      </c>
      <c r="D60" t="s" s="167">
        <v>1731</v>
      </c>
      <c r="E60" t="s" s="167">
        <v>1828</v>
      </c>
      <c r="F60" t="s" s="167">
        <v>1829</v>
      </c>
      <c r="G60" s="108">
        <v>1</v>
      </c>
      <c r="H60" s="105"/>
      <c r="I60" s="105"/>
      <c r="J60" s="105"/>
      <c r="K60" s="105"/>
      <c r="L60" s="105"/>
      <c r="M60" s="105"/>
      <c r="N60" s="105"/>
      <c r="O60" s="105"/>
      <c r="P60" s="108">
        <v>1</v>
      </c>
      <c r="Q60" s="255">
        <v>23</v>
      </c>
      <c r="R60" s="308"/>
      <c r="S60" s="255">
        <v>1</v>
      </c>
      <c r="T60" s="105"/>
      <c r="U60" s="105"/>
      <c r="V60" s="105"/>
      <c r="W60" s="105"/>
      <c r="X60" t="s" s="167">
        <v>33</v>
      </c>
      <c r="Y60" t="s" s="167">
        <v>178</v>
      </c>
      <c r="Z60" s="108">
        <v>1</v>
      </c>
      <c r="AA60" s="105"/>
      <c r="AB60" s="108">
        <v>1</v>
      </c>
      <c r="AC60" s="105"/>
      <c r="AD60" t="s" s="167">
        <v>400</v>
      </c>
      <c r="AE60" s="105"/>
      <c r="AF60" s="251"/>
      <c r="AG60" s="115"/>
      <c r="AH60" s="17"/>
      <c r="AI60" s="17"/>
      <c r="AJ60" s="17"/>
      <c r="AK60" s="17"/>
      <c r="AL60" s="17"/>
      <c r="AM60" s="17"/>
      <c r="AN60" s="17"/>
      <c r="AO60" s="17"/>
      <c r="AP60" s="17"/>
      <c r="AQ60" s="17"/>
      <c r="AR60" s="17"/>
      <c r="AS60" s="17"/>
      <c r="AT60" s="17"/>
      <c r="AU60" s="17"/>
      <c r="AV60" s="17"/>
      <c r="AW60" s="17"/>
      <c r="AX60" s="17"/>
      <c r="AY60" s="17"/>
    </row>
    <row r="61" ht="17.45" customHeight="1">
      <c r="A61" t="s" s="167">
        <v>1830</v>
      </c>
      <c r="B61" s="105"/>
      <c r="C61" s="108">
        <v>23</v>
      </c>
      <c r="D61" t="s" s="167">
        <v>1731</v>
      </c>
      <c r="E61" t="s" s="167">
        <v>1676</v>
      </c>
      <c r="F61" t="s" s="167">
        <v>1213</v>
      </c>
      <c r="G61" s="105"/>
      <c r="H61" s="108">
        <v>1</v>
      </c>
      <c r="I61" s="105"/>
      <c r="J61" s="105"/>
      <c r="K61" s="108">
        <v>1</v>
      </c>
      <c r="L61" s="105"/>
      <c r="M61" s="105"/>
      <c r="N61" s="105"/>
      <c r="O61" s="105"/>
      <c r="P61" s="105"/>
      <c r="Q61" s="255">
        <v>39</v>
      </c>
      <c r="R61" s="308">
        <v>1</v>
      </c>
      <c r="S61" s="254"/>
      <c r="T61" s="105"/>
      <c r="U61" s="105"/>
      <c r="V61" s="105"/>
      <c r="W61" s="105"/>
      <c r="X61" s="105"/>
      <c r="Y61" s="105"/>
      <c r="Z61" s="105"/>
      <c r="AA61" s="105"/>
      <c r="AB61" s="105"/>
      <c r="AC61" s="108">
        <v>1</v>
      </c>
      <c r="AD61" s="105"/>
      <c r="AE61" s="105"/>
      <c r="AF61" s="251"/>
      <c r="AG61" s="115"/>
      <c r="AH61" s="17"/>
      <c r="AI61" s="17"/>
      <c r="AJ61" s="17"/>
      <c r="AK61" s="17"/>
      <c r="AL61" s="17"/>
      <c r="AM61" s="17"/>
      <c r="AN61" s="17"/>
      <c r="AO61" s="17"/>
      <c r="AP61" s="17"/>
      <c r="AQ61" s="17"/>
      <c r="AR61" s="17"/>
      <c r="AS61" s="17"/>
      <c r="AT61" s="17"/>
      <c r="AU61" s="17"/>
      <c r="AV61" s="17"/>
      <c r="AW61" s="17"/>
      <c r="AX61" s="17"/>
      <c r="AY61" s="17"/>
    </row>
    <row r="62" ht="17.45" customHeight="1">
      <c r="A62" t="s" s="167">
        <v>1830</v>
      </c>
      <c r="B62" s="105"/>
      <c r="C62" s="108">
        <v>23</v>
      </c>
      <c r="D62" t="s" s="167">
        <v>1731</v>
      </c>
      <c r="E62" t="s" s="167">
        <v>1676</v>
      </c>
      <c r="F62" t="s" s="167">
        <v>1831</v>
      </c>
      <c r="G62" s="108">
        <v>1</v>
      </c>
      <c r="H62" s="105"/>
      <c r="I62" s="105"/>
      <c r="J62" s="105"/>
      <c r="K62" s="105"/>
      <c r="L62" s="108">
        <v>1</v>
      </c>
      <c r="M62" s="105"/>
      <c r="N62" s="105"/>
      <c r="O62" s="105"/>
      <c r="P62" s="105"/>
      <c r="Q62" s="255">
        <v>28</v>
      </c>
      <c r="R62" s="308">
        <v>1</v>
      </c>
      <c r="S62" s="254"/>
      <c r="T62" s="105"/>
      <c r="U62" s="108">
        <v>3</v>
      </c>
      <c r="V62" s="108">
        <v>2</v>
      </c>
      <c r="W62" s="108">
        <v>2</v>
      </c>
      <c r="X62" t="s" s="167">
        <v>1832</v>
      </c>
      <c r="Y62" t="s" s="167">
        <v>1833</v>
      </c>
      <c r="Z62" s="108">
        <v>1</v>
      </c>
      <c r="AA62" s="105"/>
      <c r="AB62" s="108">
        <v>1</v>
      </c>
      <c r="AC62" s="108">
        <v>1</v>
      </c>
      <c r="AD62" s="105"/>
      <c r="AE62" s="105"/>
      <c r="AF62" s="251"/>
      <c r="AG62" s="115"/>
      <c r="AH62" s="17"/>
      <c r="AI62" s="17"/>
      <c r="AJ62" s="17"/>
      <c r="AK62" s="17"/>
      <c r="AL62" s="17"/>
      <c r="AM62" s="17"/>
      <c r="AN62" s="17"/>
      <c r="AO62" s="17"/>
      <c r="AP62" s="17"/>
      <c r="AQ62" s="17"/>
      <c r="AR62" s="17"/>
      <c r="AS62" s="17"/>
      <c r="AT62" s="17"/>
      <c r="AU62" s="17"/>
      <c r="AV62" s="17"/>
      <c r="AW62" s="17"/>
      <c r="AX62" s="17"/>
      <c r="AY62" s="17"/>
    </row>
    <row r="63" ht="17.45" customHeight="1">
      <c r="A63" t="s" s="167">
        <v>1830</v>
      </c>
      <c r="B63" s="105"/>
      <c r="C63" s="108">
        <v>23</v>
      </c>
      <c r="D63" t="s" s="167">
        <v>1731</v>
      </c>
      <c r="E63" t="s" s="167">
        <v>1676</v>
      </c>
      <c r="F63" t="s" s="167">
        <v>1834</v>
      </c>
      <c r="G63" s="105"/>
      <c r="H63" s="105"/>
      <c r="I63" s="108">
        <v>1</v>
      </c>
      <c r="J63" s="105"/>
      <c r="K63" s="105"/>
      <c r="L63" s="105"/>
      <c r="M63" s="108">
        <v>1</v>
      </c>
      <c r="N63" s="105"/>
      <c r="O63" s="105"/>
      <c r="P63" s="105"/>
      <c r="Q63" s="255">
        <v>3</v>
      </c>
      <c r="R63" s="308"/>
      <c r="S63" s="254"/>
      <c r="T63" s="105"/>
      <c r="U63" s="105"/>
      <c r="V63" s="105"/>
      <c r="W63" s="105"/>
      <c r="X63" s="105"/>
      <c r="Y63" s="105"/>
      <c r="Z63" s="105"/>
      <c r="AA63" s="105"/>
      <c r="AB63" s="105"/>
      <c r="AC63" s="108">
        <v>1</v>
      </c>
      <c r="AD63" s="105"/>
      <c r="AE63" s="105"/>
      <c r="AF63" s="251"/>
      <c r="AG63" s="115"/>
      <c r="AH63" s="17"/>
      <c r="AI63" s="17"/>
      <c r="AJ63" s="17"/>
      <c r="AK63" s="17"/>
      <c r="AL63" s="17"/>
      <c r="AM63" s="17"/>
      <c r="AN63" s="17"/>
      <c r="AO63" s="17"/>
      <c r="AP63" s="17"/>
      <c r="AQ63" s="17"/>
      <c r="AR63" s="17"/>
      <c r="AS63" s="17"/>
      <c r="AT63" s="17"/>
      <c r="AU63" s="17"/>
      <c r="AV63" s="17"/>
      <c r="AW63" s="17"/>
      <c r="AX63" s="17"/>
      <c r="AY63" s="17"/>
    </row>
    <row r="64" ht="17.45" customHeight="1">
      <c r="A64" t="s" s="167">
        <v>1830</v>
      </c>
      <c r="B64" s="105"/>
      <c r="C64" s="108">
        <v>23</v>
      </c>
      <c r="D64" t="s" s="167">
        <v>1731</v>
      </c>
      <c r="E64" t="s" s="167">
        <v>1676</v>
      </c>
      <c r="F64" t="s" s="167">
        <v>1835</v>
      </c>
      <c r="G64" s="105"/>
      <c r="H64" s="105"/>
      <c r="I64" s="108">
        <v>1</v>
      </c>
      <c r="J64" s="105"/>
      <c r="K64" s="105"/>
      <c r="L64" s="105"/>
      <c r="M64" s="108">
        <v>1</v>
      </c>
      <c r="N64" s="105"/>
      <c r="O64" s="105"/>
      <c r="P64" s="105"/>
      <c r="Q64" t="s" s="167">
        <v>1836</v>
      </c>
      <c r="R64" s="308"/>
      <c r="S64" s="254"/>
      <c r="T64" s="105"/>
      <c r="U64" s="105"/>
      <c r="V64" s="105"/>
      <c r="W64" s="105"/>
      <c r="X64" s="105"/>
      <c r="Y64" s="105"/>
      <c r="Z64" s="105"/>
      <c r="AA64" s="105"/>
      <c r="AB64" s="105"/>
      <c r="AC64" s="108">
        <v>1</v>
      </c>
      <c r="AD64" s="105"/>
      <c r="AE64" s="105"/>
      <c r="AF64" s="251"/>
      <c r="AG64" s="115"/>
      <c r="AH64" s="17"/>
      <c r="AI64" s="17"/>
      <c r="AJ64" s="17"/>
      <c r="AK64" s="17"/>
      <c r="AL64" s="17"/>
      <c r="AM64" s="17"/>
      <c r="AN64" s="17"/>
      <c r="AO64" s="17"/>
      <c r="AP64" s="17"/>
      <c r="AQ64" s="17"/>
      <c r="AR64" s="17"/>
      <c r="AS64" s="17"/>
      <c r="AT64" s="17"/>
      <c r="AU64" s="17"/>
      <c r="AV64" s="17"/>
      <c r="AW64" s="17"/>
      <c r="AX64" s="17"/>
      <c r="AY64" s="17"/>
    </row>
    <row r="65" ht="17.45" customHeight="1">
      <c r="A65" t="s" s="167">
        <v>1830</v>
      </c>
      <c r="B65" s="105"/>
      <c r="C65" s="108">
        <v>23</v>
      </c>
      <c r="D65" t="s" s="167">
        <v>1731</v>
      </c>
      <c r="E65" t="s" s="167">
        <v>1837</v>
      </c>
      <c r="F65" t="s" s="167">
        <v>49</v>
      </c>
      <c r="G65" s="108">
        <v>1</v>
      </c>
      <c r="H65" s="105"/>
      <c r="I65" s="105"/>
      <c r="J65" s="105"/>
      <c r="K65" s="105"/>
      <c r="L65" s="105"/>
      <c r="M65" s="105"/>
      <c r="N65" s="105"/>
      <c r="O65" s="105"/>
      <c r="P65" s="108">
        <v>1</v>
      </c>
      <c r="Q65" s="255">
        <v>44</v>
      </c>
      <c r="R65" s="308"/>
      <c r="S65" s="255">
        <v>1</v>
      </c>
      <c r="T65" s="105"/>
      <c r="U65" s="105"/>
      <c r="V65" s="105"/>
      <c r="W65" s="105"/>
      <c r="X65" t="s" s="167">
        <v>1838</v>
      </c>
      <c r="Y65" s="105"/>
      <c r="Z65" s="108">
        <v>1</v>
      </c>
      <c r="AA65" s="105"/>
      <c r="AB65" s="108">
        <v>1</v>
      </c>
      <c r="AC65" s="105"/>
      <c r="AD65" t="s" s="167">
        <v>1839</v>
      </c>
      <c r="AE65" s="105"/>
      <c r="AF65" s="251"/>
      <c r="AG65" s="115"/>
      <c r="AH65" s="17"/>
      <c r="AI65" s="17"/>
      <c r="AJ65" s="17"/>
      <c r="AK65" s="17"/>
      <c r="AL65" s="17"/>
      <c r="AM65" s="17"/>
      <c r="AN65" s="17"/>
      <c r="AO65" s="17"/>
      <c r="AP65" s="17"/>
      <c r="AQ65" s="17"/>
      <c r="AR65" s="17"/>
      <c r="AS65" s="17"/>
      <c r="AT65" s="17"/>
      <c r="AU65" s="17"/>
      <c r="AV65" s="17"/>
      <c r="AW65" s="17"/>
      <c r="AX65" s="17"/>
      <c r="AY65" s="17"/>
    </row>
    <row r="66" ht="17.45" customHeight="1">
      <c r="A66" t="s" s="167">
        <v>1830</v>
      </c>
      <c r="B66" s="105"/>
      <c r="C66" s="108">
        <v>23</v>
      </c>
      <c r="D66" t="s" s="167">
        <v>1731</v>
      </c>
      <c r="E66" t="s" s="167">
        <v>1840</v>
      </c>
      <c r="F66" t="s" s="167">
        <v>248</v>
      </c>
      <c r="G66" s="108">
        <v>1</v>
      </c>
      <c r="H66" s="105"/>
      <c r="I66" s="105"/>
      <c r="J66" s="105"/>
      <c r="K66" s="105"/>
      <c r="L66" s="105"/>
      <c r="M66" s="105"/>
      <c r="N66" s="105"/>
      <c r="O66" s="105"/>
      <c r="P66" s="108">
        <v>1</v>
      </c>
      <c r="Q66" s="255">
        <v>20</v>
      </c>
      <c r="R66" s="308"/>
      <c r="S66" s="255">
        <v>1</v>
      </c>
      <c r="T66" s="105"/>
      <c r="U66" s="105"/>
      <c r="V66" s="105"/>
      <c r="W66" s="105"/>
      <c r="X66" t="s" s="167">
        <v>138</v>
      </c>
      <c r="Y66" s="105"/>
      <c r="Z66" s="108">
        <v>1</v>
      </c>
      <c r="AA66" s="105"/>
      <c r="AB66" s="108">
        <v>1</v>
      </c>
      <c r="AC66" s="105"/>
      <c r="AD66" t="s" s="167">
        <v>1841</v>
      </c>
      <c r="AE66" s="105"/>
      <c r="AF66" s="251"/>
      <c r="AG66" s="115"/>
      <c r="AH66" s="17"/>
      <c r="AI66" s="17"/>
      <c r="AJ66" s="17"/>
      <c r="AK66" s="17"/>
      <c r="AL66" s="17"/>
      <c r="AM66" s="17"/>
      <c r="AN66" s="17"/>
      <c r="AO66" s="17"/>
      <c r="AP66" s="17"/>
      <c r="AQ66" s="17"/>
      <c r="AR66" s="17"/>
      <c r="AS66" s="17"/>
      <c r="AT66" s="17"/>
      <c r="AU66" s="17"/>
      <c r="AV66" s="17"/>
      <c r="AW66" s="17"/>
      <c r="AX66" s="17"/>
      <c r="AY66" s="17"/>
    </row>
    <row r="67" ht="17.45" customHeight="1">
      <c r="A67" t="s" s="167">
        <v>1842</v>
      </c>
      <c r="B67" s="105"/>
      <c r="C67" s="108">
        <v>26</v>
      </c>
      <c r="D67" t="s" s="167">
        <v>1731</v>
      </c>
      <c r="E67" t="s" s="167">
        <v>1843</v>
      </c>
      <c r="F67" t="s" s="167">
        <v>451</v>
      </c>
      <c r="G67" s="108">
        <v>1</v>
      </c>
      <c r="H67" s="105"/>
      <c r="I67" s="105"/>
      <c r="J67" s="105"/>
      <c r="K67" s="108">
        <v>1</v>
      </c>
      <c r="L67" s="105"/>
      <c r="M67" s="105"/>
      <c r="N67" s="105"/>
      <c r="O67" s="105"/>
      <c r="P67" s="105"/>
      <c r="Q67" s="255">
        <v>67</v>
      </c>
      <c r="R67" s="308"/>
      <c r="S67" s="254"/>
      <c r="T67" s="108">
        <v>1</v>
      </c>
      <c r="U67" s="108">
        <v>45</v>
      </c>
      <c r="V67" s="108">
        <v>3</v>
      </c>
      <c r="W67" s="108">
        <v>3</v>
      </c>
      <c r="X67" t="s" s="167">
        <v>1844</v>
      </c>
      <c r="Y67" s="105"/>
      <c r="Z67" s="105"/>
      <c r="AA67" s="105"/>
      <c r="AB67" s="105"/>
      <c r="AC67" s="108">
        <v>1</v>
      </c>
      <c r="AD67" s="105"/>
      <c r="AE67" s="105"/>
      <c r="AF67" s="251"/>
      <c r="AG67" s="115"/>
      <c r="AH67" s="17"/>
      <c r="AI67" s="17"/>
      <c r="AJ67" s="17"/>
      <c r="AK67" s="17"/>
      <c r="AL67" s="17"/>
      <c r="AM67" s="17"/>
      <c r="AN67" s="17"/>
      <c r="AO67" s="17"/>
      <c r="AP67" s="17"/>
      <c r="AQ67" s="17"/>
      <c r="AR67" s="17"/>
      <c r="AS67" s="17"/>
      <c r="AT67" s="17"/>
      <c r="AU67" s="17"/>
      <c r="AV67" s="17"/>
      <c r="AW67" s="17"/>
      <c r="AX67" s="17"/>
      <c r="AY67" s="17"/>
    </row>
    <row r="68" ht="17.45" customHeight="1">
      <c r="A68" t="s" s="167">
        <v>1842</v>
      </c>
      <c r="B68" s="105"/>
      <c r="C68" s="108">
        <v>26</v>
      </c>
      <c r="D68" t="s" s="167">
        <v>1731</v>
      </c>
      <c r="E68" t="s" s="167">
        <v>1843</v>
      </c>
      <c r="F68" t="s" s="167">
        <v>1845</v>
      </c>
      <c r="G68" s="108">
        <v>1</v>
      </c>
      <c r="H68" s="105"/>
      <c r="I68" s="105"/>
      <c r="J68" s="105"/>
      <c r="K68" s="105"/>
      <c r="L68" s="105"/>
      <c r="M68" s="108">
        <v>1</v>
      </c>
      <c r="N68" s="105"/>
      <c r="O68" s="105"/>
      <c r="P68" s="105"/>
      <c r="Q68" s="255">
        <v>44</v>
      </c>
      <c r="R68" s="308"/>
      <c r="S68" s="255">
        <v>1</v>
      </c>
      <c r="T68" s="105"/>
      <c r="U68" s="105"/>
      <c r="V68" s="105"/>
      <c r="W68" s="105"/>
      <c r="X68" t="s" s="167">
        <v>1844</v>
      </c>
      <c r="Y68" s="105"/>
      <c r="Z68" s="105"/>
      <c r="AA68" s="105"/>
      <c r="AB68" s="105"/>
      <c r="AC68" s="108">
        <v>1</v>
      </c>
      <c r="AD68" s="105"/>
      <c r="AE68" s="105"/>
      <c r="AF68" s="251"/>
      <c r="AG68" s="115"/>
      <c r="AH68" s="17"/>
      <c r="AI68" s="17"/>
      <c r="AJ68" s="17"/>
      <c r="AK68" s="17"/>
      <c r="AL68" s="17"/>
      <c r="AM68" s="17"/>
      <c r="AN68" s="17"/>
      <c r="AO68" s="17"/>
      <c r="AP68" s="17"/>
      <c r="AQ68" s="17"/>
      <c r="AR68" s="17"/>
      <c r="AS68" s="17"/>
      <c r="AT68" s="17"/>
      <c r="AU68" s="17"/>
      <c r="AV68" s="17"/>
      <c r="AW68" s="17"/>
      <c r="AX68" s="17"/>
      <c r="AY68" s="17"/>
    </row>
    <row r="69" ht="17.45" customHeight="1">
      <c r="A69" t="s" s="167">
        <v>1842</v>
      </c>
      <c r="B69" s="105"/>
      <c r="C69" s="108">
        <v>26</v>
      </c>
      <c r="D69" t="s" s="167">
        <v>1731</v>
      </c>
      <c r="E69" t="s" s="167">
        <v>1843</v>
      </c>
      <c r="F69" t="s" s="167">
        <v>1846</v>
      </c>
      <c r="G69" s="105"/>
      <c r="H69" s="108">
        <v>1</v>
      </c>
      <c r="I69" s="105"/>
      <c r="J69" s="105"/>
      <c r="K69" s="105"/>
      <c r="L69" s="105"/>
      <c r="M69" s="105"/>
      <c r="N69" s="108">
        <v>1</v>
      </c>
      <c r="O69" s="105"/>
      <c r="P69" s="105"/>
      <c r="Q69" s="255">
        <v>42</v>
      </c>
      <c r="R69" s="308">
        <v>1</v>
      </c>
      <c r="S69" s="254"/>
      <c r="T69" s="105"/>
      <c r="U69" s="108">
        <v>11</v>
      </c>
      <c r="V69" s="105"/>
      <c r="W69" s="105"/>
      <c r="X69" t="s" s="167">
        <v>1749</v>
      </c>
      <c r="Y69" s="105"/>
      <c r="Z69" s="108">
        <v>1</v>
      </c>
      <c r="AA69" s="108">
        <v>1</v>
      </c>
      <c r="AB69" s="105"/>
      <c r="AC69" s="108">
        <v>1</v>
      </c>
      <c r="AD69" s="105"/>
      <c r="AE69" s="105"/>
      <c r="AF69" s="251"/>
      <c r="AG69" s="115"/>
      <c r="AH69" s="17"/>
      <c r="AI69" s="17"/>
      <c r="AJ69" s="17"/>
      <c r="AK69" s="17"/>
      <c r="AL69" s="17"/>
      <c r="AM69" s="17"/>
      <c r="AN69" s="17"/>
      <c r="AO69" s="17"/>
      <c r="AP69" s="17"/>
      <c r="AQ69" s="17"/>
      <c r="AR69" s="17"/>
      <c r="AS69" s="17"/>
      <c r="AT69" s="17"/>
      <c r="AU69" s="17"/>
      <c r="AV69" s="17"/>
      <c r="AW69" s="17"/>
      <c r="AX69" s="17"/>
      <c r="AY69" s="17"/>
    </row>
    <row r="70" ht="17.45" customHeight="1">
      <c r="A70" t="s" s="167">
        <v>1847</v>
      </c>
      <c r="B70" s="105"/>
      <c r="C70" s="108">
        <v>24</v>
      </c>
      <c r="D70" t="s" s="167">
        <v>1731</v>
      </c>
      <c r="E70" t="s" s="167">
        <v>1848</v>
      </c>
      <c r="F70" t="s" s="167">
        <v>49</v>
      </c>
      <c r="G70" s="108">
        <v>1</v>
      </c>
      <c r="H70" s="105"/>
      <c r="I70" s="105"/>
      <c r="J70" s="105"/>
      <c r="K70" s="108">
        <v>1</v>
      </c>
      <c r="L70" s="105"/>
      <c r="M70" s="105"/>
      <c r="N70" s="105"/>
      <c r="O70" s="105"/>
      <c r="P70" s="105"/>
      <c r="Q70" s="255">
        <v>73</v>
      </c>
      <c r="R70" s="308"/>
      <c r="S70" s="254"/>
      <c r="T70" s="108">
        <v>1</v>
      </c>
      <c r="U70" s="108">
        <v>51</v>
      </c>
      <c r="V70" s="108">
        <v>9</v>
      </c>
      <c r="W70" s="108">
        <v>6</v>
      </c>
      <c r="X70" s="105"/>
      <c r="Y70" s="105"/>
      <c r="Z70" s="105"/>
      <c r="AA70" s="105"/>
      <c r="AB70" s="105"/>
      <c r="AC70" s="105"/>
      <c r="AD70" t="s" s="167">
        <v>902</v>
      </c>
      <c r="AE70" s="105"/>
      <c r="AF70" s="251"/>
      <c r="AG70" s="115"/>
      <c r="AH70" s="17"/>
      <c r="AI70" s="17"/>
      <c r="AJ70" s="17"/>
      <c r="AK70" s="17"/>
      <c r="AL70" s="17"/>
      <c r="AM70" s="17"/>
      <c r="AN70" s="17"/>
      <c r="AO70" s="17"/>
      <c r="AP70" s="17"/>
      <c r="AQ70" s="17"/>
      <c r="AR70" s="17"/>
      <c r="AS70" s="17"/>
      <c r="AT70" s="17"/>
      <c r="AU70" s="17"/>
      <c r="AV70" s="17"/>
      <c r="AW70" s="17"/>
      <c r="AX70" s="17"/>
      <c r="AY70" s="17"/>
    </row>
    <row r="71" ht="17.45" customHeight="1">
      <c r="A71" t="s" s="167">
        <v>1847</v>
      </c>
      <c r="B71" s="105"/>
      <c r="C71" s="108">
        <v>24</v>
      </c>
      <c r="D71" t="s" s="167">
        <v>1731</v>
      </c>
      <c r="E71" t="s" s="167">
        <v>1848</v>
      </c>
      <c r="F71" t="s" s="167">
        <v>1849</v>
      </c>
      <c r="G71" s="105"/>
      <c r="H71" s="108">
        <v>1</v>
      </c>
      <c r="I71" s="105"/>
      <c r="J71" s="105"/>
      <c r="K71" s="105"/>
      <c r="L71" s="105"/>
      <c r="M71" s="105"/>
      <c r="N71" s="108">
        <v>1</v>
      </c>
      <c r="O71" s="105"/>
      <c r="P71" s="105"/>
      <c r="Q71" s="255">
        <v>39</v>
      </c>
      <c r="R71" s="308"/>
      <c r="S71" s="255">
        <v>1</v>
      </c>
      <c r="T71" s="105"/>
      <c r="U71" s="105"/>
      <c r="V71" s="105"/>
      <c r="W71" s="105"/>
      <c r="X71" t="s" s="167">
        <v>132</v>
      </c>
      <c r="Y71" s="105"/>
      <c r="Z71" s="105"/>
      <c r="AA71" s="105"/>
      <c r="AB71" s="105"/>
      <c r="AC71" s="108">
        <v>1</v>
      </c>
      <c r="AD71" s="105"/>
      <c r="AE71" s="105"/>
      <c r="AF71" s="251"/>
      <c r="AG71" s="115"/>
      <c r="AH71" s="17"/>
      <c r="AI71" s="17"/>
      <c r="AJ71" s="17"/>
      <c r="AK71" s="17"/>
      <c r="AL71" s="17"/>
      <c r="AM71" s="17"/>
      <c r="AN71" s="17"/>
      <c r="AO71" s="17"/>
      <c r="AP71" s="17"/>
      <c r="AQ71" s="17"/>
      <c r="AR71" s="17"/>
      <c r="AS71" s="17"/>
      <c r="AT71" s="17"/>
      <c r="AU71" s="17"/>
      <c r="AV71" s="17"/>
      <c r="AW71" s="17"/>
      <c r="AX71" s="17"/>
      <c r="AY71" s="17"/>
    </row>
    <row r="72" ht="17.45" customHeight="1">
      <c r="A72" t="s" s="167">
        <v>1847</v>
      </c>
      <c r="B72" s="105"/>
      <c r="C72" s="108">
        <v>24</v>
      </c>
      <c r="D72" t="s" s="167">
        <v>1731</v>
      </c>
      <c r="E72" t="s" s="167">
        <v>1848</v>
      </c>
      <c r="F72" t="s" s="167">
        <v>1053</v>
      </c>
      <c r="G72" s="108">
        <v>1</v>
      </c>
      <c r="H72" s="105"/>
      <c r="I72" s="105"/>
      <c r="J72" s="105"/>
      <c r="K72" s="105"/>
      <c r="L72" s="105"/>
      <c r="M72" s="108">
        <v>1</v>
      </c>
      <c r="N72" s="105"/>
      <c r="O72" s="105"/>
      <c r="P72" s="105"/>
      <c r="Q72" s="255">
        <v>33</v>
      </c>
      <c r="R72" s="308"/>
      <c r="S72" s="255">
        <v>1</v>
      </c>
      <c r="T72" s="105"/>
      <c r="U72" s="105"/>
      <c r="V72" s="105"/>
      <c r="W72" s="105"/>
      <c r="X72" s="105"/>
      <c r="Y72" s="105"/>
      <c r="Z72" s="105"/>
      <c r="AA72" s="105"/>
      <c r="AB72" s="105"/>
      <c r="AC72" s="108">
        <v>1</v>
      </c>
      <c r="AD72" s="105"/>
      <c r="AE72" s="105"/>
      <c r="AF72" s="251"/>
      <c r="AG72" s="115"/>
      <c r="AH72" s="17"/>
      <c r="AI72" s="17"/>
      <c r="AJ72" s="17"/>
      <c r="AK72" s="17"/>
      <c r="AL72" s="17"/>
      <c r="AM72" s="17"/>
      <c r="AN72" s="17"/>
      <c r="AO72" s="17"/>
      <c r="AP72" s="17"/>
      <c r="AQ72" s="17"/>
      <c r="AR72" s="17"/>
      <c r="AS72" s="17"/>
      <c r="AT72" s="17"/>
      <c r="AU72" s="17"/>
      <c r="AV72" s="17"/>
      <c r="AW72" s="17"/>
      <c r="AX72" s="17"/>
      <c r="AY72" s="17"/>
    </row>
    <row r="73" ht="17.45" customHeight="1">
      <c r="A73" t="s" s="167">
        <v>1847</v>
      </c>
      <c r="B73" s="105"/>
      <c r="C73" s="108">
        <v>24</v>
      </c>
      <c r="D73" t="s" s="167">
        <v>1731</v>
      </c>
      <c r="E73" t="s" s="167">
        <v>1848</v>
      </c>
      <c r="F73" t="s" s="167">
        <v>1029</v>
      </c>
      <c r="G73" s="108">
        <v>1</v>
      </c>
      <c r="H73" s="105"/>
      <c r="I73" s="105"/>
      <c r="J73" s="105"/>
      <c r="K73" s="105"/>
      <c r="L73" s="105"/>
      <c r="M73" s="108">
        <v>1</v>
      </c>
      <c r="N73" s="105"/>
      <c r="O73" s="105"/>
      <c r="P73" s="105"/>
      <c r="Q73" s="255">
        <v>31</v>
      </c>
      <c r="R73" s="308"/>
      <c r="S73" s="255">
        <v>1</v>
      </c>
      <c r="T73" s="105"/>
      <c r="U73" s="105"/>
      <c r="V73" s="105"/>
      <c r="W73" s="105"/>
      <c r="X73" s="105"/>
      <c r="Y73" s="105"/>
      <c r="Z73" s="105"/>
      <c r="AA73" s="105"/>
      <c r="AB73" s="105"/>
      <c r="AC73" s="108">
        <v>1</v>
      </c>
      <c r="AD73" s="105"/>
      <c r="AE73" s="105"/>
      <c r="AF73" s="251"/>
      <c r="AG73" s="115"/>
      <c r="AH73" s="17"/>
      <c r="AI73" s="17"/>
      <c r="AJ73" s="17"/>
      <c r="AK73" s="17"/>
      <c r="AL73" s="17"/>
      <c r="AM73" s="17"/>
      <c r="AN73" s="17"/>
      <c r="AO73" s="17"/>
      <c r="AP73" s="17"/>
      <c r="AQ73" s="17"/>
      <c r="AR73" s="17"/>
      <c r="AS73" s="17"/>
      <c r="AT73" s="17"/>
      <c r="AU73" s="17"/>
      <c r="AV73" s="17"/>
      <c r="AW73" s="17"/>
      <c r="AX73" s="17"/>
      <c r="AY73" s="17"/>
    </row>
    <row r="74" ht="17.45" customHeight="1">
      <c r="A74" t="s" s="167">
        <v>1847</v>
      </c>
      <c r="B74" s="105"/>
      <c r="C74" s="108">
        <v>24</v>
      </c>
      <c r="D74" t="s" s="167">
        <v>1731</v>
      </c>
      <c r="E74" t="s" s="167">
        <v>1850</v>
      </c>
      <c r="F74" t="s" s="167">
        <v>1851</v>
      </c>
      <c r="G74" s="105"/>
      <c r="H74" s="108">
        <v>1</v>
      </c>
      <c r="I74" s="105"/>
      <c r="J74" s="105"/>
      <c r="K74" s="105"/>
      <c r="L74" s="105"/>
      <c r="M74" s="105"/>
      <c r="N74" s="105"/>
      <c r="O74" t="s" s="167">
        <v>441</v>
      </c>
      <c r="P74" s="105"/>
      <c r="Q74" s="255">
        <v>37</v>
      </c>
      <c r="R74" s="308"/>
      <c r="S74" s="255">
        <v>1</v>
      </c>
      <c r="T74" s="105"/>
      <c r="U74" s="105"/>
      <c r="V74" s="105"/>
      <c r="W74" s="105"/>
      <c r="X74" t="s" s="167">
        <v>1852</v>
      </c>
      <c r="Y74" s="105"/>
      <c r="Z74" s="108">
        <v>1</v>
      </c>
      <c r="AA74" s="105"/>
      <c r="AB74" s="105"/>
      <c r="AC74" s="105"/>
      <c r="AD74" t="s" s="167">
        <v>902</v>
      </c>
      <c r="AE74" s="105"/>
      <c r="AF74" s="251"/>
      <c r="AG74" s="115"/>
      <c r="AH74" s="17"/>
      <c r="AI74" s="17"/>
      <c r="AJ74" s="17"/>
      <c r="AK74" s="17"/>
      <c r="AL74" s="17"/>
      <c r="AM74" s="17"/>
      <c r="AN74" s="17"/>
      <c r="AO74" s="17"/>
      <c r="AP74" s="17"/>
      <c r="AQ74" s="17"/>
      <c r="AR74" s="17"/>
      <c r="AS74" s="17"/>
      <c r="AT74" s="17"/>
      <c r="AU74" s="17"/>
      <c r="AV74" s="17"/>
      <c r="AW74" s="17"/>
      <c r="AX74" s="17"/>
      <c r="AY74" s="17"/>
    </row>
    <row r="75" ht="17.45" customHeight="1">
      <c r="A75" t="s" s="167">
        <v>1853</v>
      </c>
      <c r="B75" s="105"/>
      <c r="C75" s="108">
        <v>20</v>
      </c>
      <c r="D75" t="s" s="167">
        <v>1731</v>
      </c>
      <c r="E75" t="s" s="167">
        <v>1854</v>
      </c>
      <c r="F75" t="s" s="167">
        <v>1855</v>
      </c>
      <c r="G75" s="105"/>
      <c r="H75" s="108">
        <v>1</v>
      </c>
      <c r="I75" s="105"/>
      <c r="J75" s="105"/>
      <c r="K75" s="108">
        <v>1</v>
      </c>
      <c r="L75" s="105"/>
      <c r="M75" s="105"/>
      <c r="N75" s="105"/>
      <c r="O75" s="105"/>
      <c r="P75" s="105"/>
      <c r="Q75" s="255">
        <v>51</v>
      </c>
      <c r="R75" s="308"/>
      <c r="S75" s="255">
        <v>1</v>
      </c>
      <c r="T75" s="105"/>
      <c r="U75" s="105"/>
      <c r="V75" s="105"/>
      <c r="W75" s="105"/>
      <c r="X75" t="s" s="167">
        <v>1856</v>
      </c>
      <c r="Y75" t="s" s="167">
        <v>1857</v>
      </c>
      <c r="Z75" s="108">
        <v>1</v>
      </c>
      <c r="AA75" s="105"/>
      <c r="AB75" s="108">
        <v>1</v>
      </c>
      <c r="AC75" s="105"/>
      <c r="AD75" t="s" s="167">
        <v>400</v>
      </c>
      <c r="AE75" s="105"/>
      <c r="AF75" s="251"/>
      <c r="AG75" s="115"/>
      <c r="AH75" s="17"/>
      <c r="AI75" s="17"/>
      <c r="AJ75" s="17"/>
      <c r="AK75" s="17"/>
      <c r="AL75" s="17"/>
      <c r="AM75" s="17"/>
      <c r="AN75" s="17"/>
      <c r="AO75" s="17"/>
      <c r="AP75" s="17"/>
      <c r="AQ75" s="17"/>
      <c r="AR75" s="17"/>
      <c r="AS75" s="17"/>
      <c r="AT75" s="17"/>
      <c r="AU75" s="17"/>
      <c r="AV75" s="17"/>
      <c r="AW75" s="17"/>
      <c r="AX75" s="17"/>
      <c r="AY75" s="17"/>
    </row>
    <row r="76" ht="17.45" customHeight="1">
      <c r="A76" t="s" s="167">
        <v>1853</v>
      </c>
      <c r="B76" s="105"/>
      <c r="C76" s="108">
        <v>20</v>
      </c>
      <c r="D76" t="s" s="167">
        <v>1731</v>
      </c>
      <c r="E76" t="s" s="167">
        <v>1854</v>
      </c>
      <c r="F76" t="s" s="167">
        <v>1858</v>
      </c>
      <c r="G76" s="108">
        <v>1</v>
      </c>
      <c r="H76" s="105"/>
      <c r="I76" s="105"/>
      <c r="J76" s="105"/>
      <c r="K76" s="105"/>
      <c r="L76" s="105"/>
      <c r="M76" s="105"/>
      <c r="N76" s="105"/>
      <c r="O76" t="s" s="167">
        <v>175</v>
      </c>
      <c r="P76" s="105"/>
      <c r="Q76" s="255">
        <v>47</v>
      </c>
      <c r="R76" s="308"/>
      <c r="S76" s="255">
        <v>1</v>
      </c>
      <c r="T76" s="105"/>
      <c r="U76" s="105"/>
      <c r="V76" s="105"/>
      <c r="W76" s="105"/>
      <c r="X76" s="105"/>
      <c r="Y76" s="105"/>
      <c r="Z76" s="105"/>
      <c r="AA76" s="105"/>
      <c r="AB76" s="105"/>
      <c r="AC76" s="105"/>
      <c r="AD76" t="s" s="167">
        <v>400</v>
      </c>
      <c r="AE76" s="105"/>
      <c r="AF76" s="251"/>
      <c r="AG76" s="115"/>
      <c r="AH76" s="17"/>
      <c r="AI76" s="17"/>
      <c r="AJ76" s="17"/>
      <c r="AK76" s="17"/>
      <c r="AL76" s="17"/>
      <c r="AM76" s="17"/>
      <c r="AN76" s="17"/>
      <c r="AO76" s="17"/>
      <c r="AP76" s="17"/>
      <c r="AQ76" s="17"/>
      <c r="AR76" s="17"/>
      <c r="AS76" s="17"/>
      <c r="AT76" s="17"/>
      <c r="AU76" s="17"/>
      <c r="AV76" s="17"/>
      <c r="AW76" s="17"/>
      <c r="AX76" s="17"/>
      <c r="AY76" s="17"/>
    </row>
    <row r="77" ht="17.45" customHeight="1">
      <c r="A77" t="s" s="167">
        <v>1853</v>
      </c>
      <c r="B77" s="105"/>
      <c r="C77" s="108">
        <v>20</v>
      </c>
      <c r="D77" t="s" s="167">
        <v>1731</v>
      </c>
      <c r="E77" t="s" s="167">
        <v>462</v>
      </c>
      <c r="F77" t="s" s="167">
        <v>1859</v>
      </c>
      <c r="G77" s="108">
        <v>1</v>
      </c>
      <c r="H77" s="105"/>
      <c r="I77" s="105"/>
      <c r="J77" s="105"/>
      <c r="K77" s="105"/>
      <c r="L77" s="105"/>
      <c r="M77" s="105"/>
      <c r="N77" s="105"/>
      <c r="O77" s="105"/>
      <c r="P77" s="108">
        <v>1</v>
      </c>
      <c r="Q77" s="255">
        <v>32</v>
      </c>
      <c r="R77" s="308"/>
      <c r="S77" s="255">
        <v>1</v>
      </c>
      <c r="T77" s="105"/>
      <c r="U77" s="105"/>
      <c r="V77" s="105"/>
      <c r="W77" s="105"/>
      <c r="X77" t="s" s="167">
        <v>138</v>
      </c>
      <c r="Y77" s="105"/>
      <c r="Z77" s="108">
        <v>1</v>
      </c>
      <c r="AA77" s="105"/>
      <c r="AB77" s="105"/>
      <c r="AC77" s="105"/>
      <c r="AD77" t="s" s="167">
        <v>400</v>
      </c>
      <c r="AE77" s="105"/>
      <c r="AF77" s="251"/>
      <c r="AG77" s="115"/>
      <c r="AH77" s="17"/>
      <c r="AI77" s="17"/>
      <c r="AJ77" s="17"/>
      <c r="AK77" s="17"/>
      <c r="AL77" s="17"/>
      <c r="AM77" s="17"/>
      <c r="AN77" s="17"/>
      <c r="AO77" s="17"/>
      <c r="AP77" s="17"/>
      <c r="AQ77" s="17"/>
      <c r="AR77" s="17"/>
      <c r="AS77" s="17"/>
      <c r="AT77" s="17"/>
      <c r="AU77" s="17"/>
      <c r="AV77" s="17"/>
      <c r="AW77" s="17"/>
      <c r="AX77" s="17"/>
      <c r="AY77" s="17"/>
    </row>
    <row r="78" ht="17.45" customHeight="1">
      <c r="A78" t="s" s="167">
        <v>1860</v>
      </c>
      <c r="B78" s="105"/>
      <c r="C78" s="108">
        <v>18</v>
      </c>
      <c r="D78" t="s" s="167">
        <v>1731</v>
      </c>
      <c r="E78" t="s" s="167">
        <v>60</v>
      </c>
      <c r="F78" t="s" s="167">
        <v>1861</v>
      </c>
      <c r="G78" s="105"/>
      <c r="H78" s="108">
        <v>1</v>
      </c>
      <c r="I78" s="105"/>
      <c r="J78" s="105"/>
      <c r="K78" s="108">
        <v>1</v>
      </c>
      <c r="L78" s="105"/>
      <c r="M78" s="105"/>
      <c r="N78" s="105"/>
      <c r="O78" s="105"/>
      <c r="P78" s="105"/>
      <c r="Q78" s="255">
        <v>49</v>
      </c>
      <c r="R78" s="308">
        <v>1</v>
      </c>
      <c r="S78" s="254"/>
      <c r="T78" s="105"/>
      <c r="U78" s="105"/>
      <c r="V78" s="105"/>
      <c r="W78" s="105"/>
      <c r="X78" t="s" s="167">
        <v>1862</v>
      </c>
      <c r="Y78" s="105"/>
      <c r="Z78" s="108">
        <v>1</v>
      </c>
      <c r="AA78" s="105"/>
      <c r="AB78" s="108">
        <v>1</v>
      </c>
      <c r="AC78" s="105"/>
      <c r="AD78" t="s" s="167">
        <v>146</v>
      </c>
      <c r="AE78" s="105"/>
      <c r="AF78" s="251"/>
      <c r="AG78" s="115"/>
      <c r="AH78" s="17"/>
      <c r="AI78" s="17"/>
      <c r="AJ78" s="17"/>
      <c r="AK78" s="17"/>
      <c r="AL78" s="17"/>
      <c r="AM78" s="17"/>
      <c r="AN78" s="17"/>
      <c r="AO78" s="17"/>
      <c r="AP78" s="17"/>
      <c r="AQ78" s="17"/>
      <c r="AR78" s="17"/>
      <c r="AS78" s="17"/>
      <c r="AT78" s="17"/>
      <c r="AU78" s="17"/>
      <c r="AV78" s="17"/>
      <c r="AW78" s="17"/>
      <c r="AX78" s="17"/>
      <c r="AY78" s="17"/>
    </row>
    <row r="79" ht="17.45" customHeight="1">
      <c r="A79" t="s" s="167">
        <v>1860</v>
      </c>
      <c r="B79" s="105"/>
      <c r="C79" s="108">
        <v>18</v>
      </c>
      <c r="D79" t="s" s="167">
        <v>1731</v>
      </c>
      <c r="E79" t="s" s="167">
        <v>60</v>
      </c>
      <c r="F79" t="s" s="167">
        <v>1863</v>
      </c>
      <c r="G79" s="108">
        <v>1</v>
      </c>
      <c r="H79" s="105"/>
      <c r="I79" s="105"/>
      <c r="J79" s="105"/>
      <c r="K79" s="105"/>
      <c r="L79" s="108">
        <v>1</v>
      </c>
      <c r="M79" s="105"/>
      <c r="N79" s="105"/>
      <c r="O79" s="105"/>
      <c r="P79" s="105"/>
      <c r="Q79" s="255">
        <v>39</v>
      </c>
      <c r="R79" s="308">
        <v>1</v>
      </c>
      <c r="S79" s="254"/>
      <c r="T79" s="105"/>
      <c r="U79" s="108">
        <v>10</v>
      </c>
      <c r="V79" s="105"/>
      <c r="W79" s="105"/>
      <c r="X79" s="105"/>
      <c r="Y79" s="105"/>
      <c r="Z79" s="105"/>
      <c r="AA79" s="105"/>
      <c r="AB79" s="105"/>
      <c r="AC79" s="105"/>
      <c r="AD79" t="s" s="167">
        <v>591</v>
      </c>
      <c r="AE79" s="105"/>
      <c r="AF79" s="251"/>
      <c r="AG79" s="115"/>
      <c r="AH79" s="17"/>
      <c r="AI79" s="17"/>
      <c r="AJ79" s="17"/>
      <c r="AK79" s="17"/>
      <c r="AL79" s="17"/>
      <c r="AM79" s="17"/>
      <c r="AN79" s="17"/>
      <c r="AO79" s="17"/>
      <c r="AP79" s="17"/>
      <c r="AQ79" s="17"/>
      <c r="AR79" s="17"/>
      <c r="AS79" s="17"/>
      <c r="AT79" s="17"/>
      <c r="AU79" s="17"/>
      <c r="AV79" s="17"/>
      <c r="AW79" s="17"/>
      <c r="AX79" s="17"/>
      <c r="AY79" s="17"/>
    </row>
    <row r="80" ht="17.45" customHeight="1">
      <c r="A80" t="s" s="167">
        <v>1860</v>
      </c>
      <c r="B80" s="105"/>
      <c r="C80" s="108">
        <v>18</v>
      </c>
      <c r="D80" t="s" s="167">
        <v>1731</v>
      </c>
      <c r="E80" t="s" s="167">
        <v>1864</v>
      </c>
      <c r="F80" t="s" s="167">
        <v>1779</v>
      </c>
      <c r="G80" s="108">
        <v>1</v>
      </c>
      <c r="H80" s="105"/>
      <c r="I80" s="105"/>
      <c r="J80" s="105"/>
      <c r="K80" s="105"/>
      <c r="L80" s="105"/>
      <c r="M80" s="105"/>
      <c r="N80" s="105"/>
      <c r="O80" s="105"/>
      <c r="P80" s="108">
        <v>1</v>
      </c>
      <c r="Q80" s="255">
        <v>25</v>
      </c>
      <c r="R80" s="308"/>
      <c r="S80" s="255">
        <v>1</v>
      </c>
      <c r="T80" s="105"/>
      <c r="U80" s="105"/>
      <c r="V80" s="105"/>
      <c r="W80" s="105"/>
      <c r="X80" t="s" s="167">
        <v>530</v>
      </c>
      <c r="Y80" s="105"/>
      <c r="Z80" s="108">
        <v>1</v>
      </c>
      <c r="AA80" s="105"/>
      <c r="AB80" s="108">
        <v>1</v>
      </c>
      <c r="AC80" s="108">
        <v>1</v>
      </c>
      <c r="AD80" s="105"/>
      <c r="AE80" s="105"/>
      <c r="AF80" s="251"/>
      <c r="AG80" s="115"/>
      <c r="AH80" s="17"/>
      <c r="AI80" s="17"/>
      <c r="AJ80" s="17"/>
      <c r="AK80" s="17"/>
      <c r="AL80" s="17"/>
      <c r="AM80" s="17"/>
      <c r="AN80" s="17"/>
      <c r="AO80" s="17"/>
      <c r="AP80" s="17"/>
      <c r="AQ80" s="17"/>
      <c r="AR80" s="17"/>
      <c r="AS80" s="17"/>
      <c r="AT80" s="17"/>
      <c r="AU80" s="17"/>
      <c r="AV80" s="17"/>
      <c r="AW80" s="17"/>
      <c r="AX80" s="17"/>
      <c r="AY80" s="17"/>
    </row>
    <row r="81" ht="17.45" customHeight="1">
      <c r="A81" t="s" s="167">
        <v>1865</v>
      </c>
      <c r="B81" s="105"/>
      <c r="C81" s="108">
        <v>14</v>
      </c>
      <c r="D81" t="s" s="167">
        <v>1731</v>
      </c>
      <c r="E81" t="s" s="167">
        <v>1866</v>
      </c>
      <c r="F81" t="s" s="167">
        <v>1867</v>
      </c>
      <c r="G81" s="105"/>
      <c r="H81" s="108">
        <v>1</v>
      </c>
      <c r="I81" s="105"/>
      <c r="J81" s="105"/>
      <c r="K81" s="108">
        <v>1</v>
      </c>
      <c r="L81" s="105"/>
      <c r="M81" s="105"/>
      <c r="N81" s="105"/>
      <c r="O81" s="105"/>
      <c r="P81" s="105"/>
      <c r="Q81" s="255">
        <v>50</v>
      </c>
      <c r="R81" s="308"/>
      <c r="S81" s="254"/>
      <c r="T81" s="108">
        <v>1</v>
      </c>
      <c r="U81" s="105"/>
      <c r="V81" s="105"/>
      <c r="W81" s="105"/>
      <c r="X81" t="s" s="167">
        <v>1868</v>
      </c>
      <c r="Y81" t="s" s="167">
        <v>1869</v>
      </c>
      <c r="Z81" s="108">
        <v>1</v>
      </c>
      <c r="AA81" s="105"/>
      <c r="AB81" s="108">
        <v>1</v>
      </c>
      <c r="AC81" s="108">
        <v>1</v>
      </c>
      <c r="AD81" s="105"/>
      <c r="AE81" s="105"/>
      <c r="AF81" s="251"/>
      <c r="AG81" s="115"/>
      <c r="AH81" s="17"/>
      <c r="AI81" s="17"/>
      <c r="AJ81" s="17"/>
      <c r="AK81" s="17"/>
      <c r="AL81" s="17"/>
      <c r="AM81" s="17"/>
      <c r="AN81" s="17"/>
      <c r="AO81" s="17"/>
      <c r="AP81" s="17"/>
      <c r="AQ81" s="17"/>
      <c r="AR81" s="17"/>
      <c r="AS81" s="17"/>
      <c r="AT81" s="17"/>
      <c r="AU81" s="17"/>
      <c r="AV81" s="17"/>
      <c r="AW81" s="17"/>
      <c r="AX81" s="17"/>
      <c r="AY81" s="17"/>
    </row>
    <row r="82" ht="17.45" customHeight="1">
      <c r="A82" t="s" s="167">
        <v>1865</v>
      </c>
      <c r="B82" s="105"/>
      <c r="C82" s="108">
        <v>14</v>
      </c>
      <c r="D82" t="s" s="167">
        <v>1731</v>
      </c>
      <c r="E82" t="s" s="167">
        <v>1866</v>
      </c>
      <c r="F82" t="s" s="167">
        <v>1870</v>
      </c>
      <c r="G82" s="105"/>
      <c r="H82" s="108">
        <v>1</v>
      </c>
      <c r="I82" s="105"/>
      <c r="J82" s="105"/>
      <c r="K82" s="105"/>
      <c r="L82" s="105"/>
      <c r="M82" s="105"/>
      <c r="N82" s="108">
        <v>1</v>
      </c>
      <c r="O82" s="105"/>
      <c r="P82" s="105"/>
      <c r="Q82" s="255">
        <v>24</v>
      </c>
      <c r="R82" s="308"/>
      <c r="S82" s="255">
        <v>1</v>
      </c>
      <c r="T82" s="105"/>
      <c r="U82" s="105"/>
      <c r="V82" s="105"/>
      <c r="W82" s="105"/>
      <c r="X82" t="s" s="167">
        <v>1868</v>
      </c>
      <c r="Y82" t="s" s="167">
        <v>1871</v>
      </c>
      <c r="Z82" s="108">
        <v>1</v>
      </c>
      <c r="AA82" s="105"/>
      <c r="AB82" s="108">
        <v>1</v>
      </c>
      <c r="AC82" s="108">
        <v>1</v>
      </c>
      <c r="AD82" s="105"/>
      <c r="AE82" s="105"/>
      <c r="AF82" s="251"/>
      <c r="AG82" s="115"/>
      <c r="AH82" s="17"/>
      <c r="AI82" s="17"/>
      <c r="AJ82" s="17"/>
      <c r="AK82" s="17"/>
      <c r="AL82" s="17"/>
      <c r="AM82" s="17"/>
      <c r="AN82" s="17"/>
      <c r="AO82" s="17"/>
      <c r="AP82" s="17"/>
      <c r="AQ82" s="17"/>
      <c r="AR82" s="17"/>
      <c r="AS82" s="17"/>
      <c r="AT82" s="17"/>
      <c r="AU82" s="17"/>
      <c r="AV82" s="17"/>
      <c r="AW82" s="17"/>
      <c r="AX82" s="17"/>
      <c r="AY82" s="17"/>
    </row>
    <row r="83" ht="17.45" customHeight="1">
      <c r="A83" t="s" s="167">
        <v>1865</v>
      </c>
      <c r="B83" s="105"/>
      <c r="C83" s="108">
        <v>14</v>
      </c>
      <c r="D83" t="s" s="167">
        <v>1731</v>
      </c>
      <c r="E83" t="s" s="167">
        <v>1866</v>
      </c>
      <c r="F83" t="s" s="167">
        <v>1872</v>
      </c>
      <c r="G83" s="108">
        <v>1</v>
      </c>
      <c r="H83" s="105"/>
      <c r="I83" s="105"/>
      <c r="J83" s="105"/>
      <c r="K83" s="105"/>
      <c r="L83" s="105"/>
      <c r="M83" s="108">
        <v>1</v>
      </c>
      <c r="N83" s="105"/>
      <c r="O83" s="105"/>
      <c r="P83" s="105"/>
      <c r="Q83" s="255">
        <v>23</v>
      </c>
      <c r="R83" s="308"/>
      <c r="S83" s="255">
        <v>1</v>
      </c>
      <c r="T83" s="105"/>
      <c r="U83" s="105"/>
      <c r="V83" s="105"/>
      <c r="W83" s="105"/>
      <c r="X83" t="s" s="167">
        <v>100</v>
      </c>
      <c r="Y83" s="105"/>
      <c r="Z83" s="105"/>
      <c r="AA83" s="105"/>
      <c r="AB83" s="105"/>
      <c r="AC83" s="108">
        <v>1</v>
      </c>
      <c r="AD83" s="105"/>
      <c r="AE83" s="105"/>
      <c r="AF83" s="251"/>
      <c r="AG83" s="115"/>
      <c r="AH83" s="17"/>
      <c r="AI83" s="17"/>
      <c r="AJ83" s="17"/>
      <c r="AK83" s="17"/>
      <c r="AL83" s="17"/>
      <c r="AM83" s="17"/>
      <c r="AN83" s="17"/>
      <c r="AO83" s="17"/>
      <c r="AP83" s="17"/>
      <c r="AQ83" s="17"/>
      <c r="AR83" s="17"/>
      <c r="AS83" s="17"/>
      <c r="AT83" s="17"/>
      <c r="AU83" s="17"/>
      <c r="AV83" s="17"/>
      <c r="AW83" s="17"/>
      <c r="AX83" s="17"/>
      <c r="AY83" s="17"/>
    </row>
    <row r="84" ht="17.45" customHeight="1">
      <c r="A84" t="s" s="167">
        <v>1865</v>
      </c>
      <c r="B84" s="105"/>
      <c r="C84" s="108">
        <v>14</v>
      </c>
      <c r="D84" t="s" s="167">
        <v>1731</v>
      </c>
      <c r="E84" t="s" s="167">
        <v>1866</v>
      </c>
      <c r="F84" t="s" s="167">
        <v>1873</v>
      </c>
      <c r="G84" s="108">
        <v>1</v>
      </c>
      <c r="H84" s="105"/>
      <c r="I84" s="105"/>
      <c r="J84" s="105"/>
      <c r="K84" s="105"/>
      <c r="L84" s="105"/>
      <c r="M84" s="108">
        <v>1</v>
      </c>
      <c r="N84" s="105"/>
      <c r="O84" s="105"/>
      <c r="P84" s="105"/>
      <c r="Q84" s="255">
        <v>28</v>
      </c>
      <c r="R84" s="308"/>
      <c r="S84" s="255">
        <v>1</v>
      </c>
      <c r="T84" s="105"/>
      <c r="U84" s="105"/>
      <c r="V84" s="105"/>
      <c r="W84" s="105"/>
      <c r="X84" t="s" s="167">
        <v>1874</v>
      </c>
      <c r="Y84" s="105"/>
      <c r="Z84" s="108">
        <v>1</v>
      </c>
      <c r="AA84" s="105"/>
      <c r="AB84" s="108">
        <v>1</v>
      </c>
      <c r="AC84" s="108">
        <v>1</v>
      </c>
      <c r="AD84" s="105"/>
      <c r="AE84" s="105"/>
      <c r="AF84" s="251"/>
      <c r="AG84" s="115"/>
      <c r="AH84" s="17"/>
      <c r="AI84" s="17"/>
      <c r="AJ84" s="17"/>
      <c r="AK84" s="17"/>
      <c r="AL84" s="17"/>
      <c r="AM84" s="17"/>
      <c r="AN84" s="17"/>
      <c r="AO84" s="17"/>
      <c r="AP84" s="17"/>
      <c r="AQ84" s="17"/>
      <c r="AR84" s="17"/>
      <c r="AS84" s="17"/>
      <c r="AT84" s="17"/>
      <c r="AU84" s="17"/>
      <c r="AV84" s="17"/>
      <c r="AW84" s="17"/>
      <c r="AX84" s="17"/>
      <c r="AY84" s="17"/>
    </row>
    <row r="85" ht="17.45" customHeight="1">
      <c r="A85" t="s" s="167">
        <v>1865</v>
      </c>
      <c r="B85" s="105"/>
      <c r="C85" s="108">
        <v>14</v>
      </c>
      <c r="D85" t="s" s="167">
        <v>1731</v>
      </c>
      <c r="E85" t="s" s="167">
        <v>1866</v>
      </c>
      <c r="F85" t="s" s="167">
        <v>1875</v>
      </c>
      <c r="G85" s="108">
        <v>1</v>
      </c>
      <c r="H85" s="105"/>
      <c r="I85" s="105"/>
      <c r="J85" s="105"/>
      <c r="K85" s="105"/>
      <c r="L85" s="105"/>
      <c r="M85" s="108">
        <v>1</v>
      </c>
      <c r="N85" s="105"/>
      <c r="O85" s="105"/>
      <c r="P85" s="105"/>
      <c r="Q85" s="255">
        <v>17</v>
      </c>
      <c r="R85" s="308"/>
      <c r="S85" s="255">
        <v>1</v>
      </c>
      <c r="T85" s="105"/>
      <c r="U85" s="105"/>
      <c r="V85" s="105"/>
      <c r="W85" s="105"/>
      <c r="X85" t="s" s="167">
        <v>132</v>
      </c>
      <c r="Y85" s="105"/>
      <c r="Z85" s="105"/>
      <c r="AA85" s="105"/>
      <c r="AB85" s="105"/>
      <c r="AC85" s="108">
        <v>1</v>
      </c>
      <c r="AD85" s="105"/>
      <c r="AE85" s="105"/>
      <c r="AF85" s="251"/>
      <c r="AG85" s="115"/>
      <c r="AH85" s="17"/>
      <c r="AI85" s="17"/>
      <c r="AJ85" s="17"/>
      <c r="AK85" s="17"/>
      <c r="AL85" s="17"/>
      <c r="AM85" s="17"/>
      <c r="AN85" s="17"/>
      <c r="AO85" s="17"/>
      <c r="AP85" s="17"/>
      <c r="AQ85" s="17"/>
      <c r="AR85" s="17"/>
      <c r="AS85" s="17"/>
      <c r="AT85" s="17"/>
      <c r="AU85" s="17"/>
      <c r="AV85" s="17"/>
      <c r="AW85" s="17"/>
      <c r="AX85" s="17"/>
      <c r="AY85" s="17"/>
    </row>
    <row r="86" ht="17.45" customHeight="1">
      <c r="A86" t="s" s="167">
        <v>1865</v>
      </c>
      <c r="B86" s="105"/>
      <c r="C86" s="108">
        <v>14</v>
      </c>
      <c r="D86" t="s" s="167">
        <v>1731</v>
      </c>
      <c r="E86" t="s" s="167">
        <v>1866</v>
      </c>
      <c r="F86" t="s" s="167">
        <v>1876</v>
      </c>
      <c r="G86" s="105"/>
      <c r="H86" s="105"/>
      <c r="I86" s="108">
        <v>1</v>
      </c>
      <c r="J86" s="105"/>
      <c r="K86" s="105"/>
      <c r="L86" s="105"/>
      <c r="M86" s="108">
        <v>1</v>
      </c>
      <c r="N86" s="105"/>
      <c r="O86" s="105"/>
      <c r="P86" s="105"/>
      <c r="Q86" s="255">
        <v>14</v>
      </c>
      <c r="R86" s="308"/>
      <c r="S86" s="254"/>
      <c r="T86" s="105"/>
      <c r="U86" s="105"/>
      <c r="V86" s="105"/>
      <c r="W86" s="105"/>
      <c r="X86" t="s" s="167">
        <v>1105</v>
      </c>
      <c r="Y86" s="105"/>
      <c r="Z86" s="105"/>
      <c r="AA86" s="105"/>
      <c r="AB86" s="105"/>
      <c r="AC86" s="108">
        <v>1</v>
      </c>
      <c r="AD86" s="105"/>
      <c r="AE86" s="105"/>
      <c r="AF86" s="251"/>
      <c r="AG86" s="115"/>
      <c r="AH86" s="17"/>
      <c r="AI86" s="17"/>
      <c r="AJ86" s="17"/>
      <c r="AK86" s="17"/>
      <c r="AL86" s="17"/>
      <c r="AM86" s="17"/>
      <c r="AN86" s="17"/>
      <c r="AO86" s="17"/>
      <c r="AP86" s="17"/>
      <c r="AQ86" s="17"/>
      <c r="AR86" s="17"/>
      <c r="AS86" s="17"/>
      <c r="AT86" s="17"/>
      <c r="AU86" s="17"/>
      <c r="AV86" s="17"/>
      <c r="AW86" s="17"/>
      <c r="AX86" s="17"/>
      <c r="AY86" s="17"/>
    </row>
    <row r="87" ht="17.45" customHeight="1">
      <c r="A87" t="s" s="167">
        <v>1865</v>
      </c>
      <c r="B87" s="105"/>
      <c r="C87" s="108">
        <v>14</v>
      </c>
      <c r="D87" t="s" s="167">
        <v>1731</v>
      </c>
      <c r="E87" t="s" s="167">
        <v>1866</v>
      </c>
      <c r="F87" t="s" s="167">
        <v>1877</v>
      </c>
      <c r="G87" s="105"/>
      <c r="H87" s="105"/>
      <c r="I87" s="108">
        <v>1</v>
      </c>
      <c r="J87" s="105"/>
      <c r="K87" s="105"/>
      <c r="L87" s="105"/>
      <c r="M87" s="108">
        <v>1</v>
      </c>
      <c r="N87" s="105"/>
      <c r="O87" s="105"/>
      <c r="P87" s="105"/>
      <c r="Q87" s="255">
        <v>11</v>
      </c>
      <c r="R87" s="308"/>
      <c r="S87" s="254"/>
      <c r="T87" s="105"/>
      <c r="U87" s="105"/>
      <c r="V87" s="105"/>
      <c r="W87" s="105"/>
      <c r="X87" t="s" s="167">
        <v>1105</v>
      </c>
      <c r="Y87" s="105"/>
      <c r="Z87" s="105"/>
      <c r="AA87" s="105"/>
      <c r="AB87" s="105"/>
      <c r="AC87" s="108">
        <v>1</v>
      </c>
      <c r="AD87" s="105"/>
      <c r="AE87" s="105"/>
      <c r="AF87" s="251"/>
      <c r="AG87" s="115"/>
      <c r="AH87" s="17"/>
      <c r="AI87" s="17"/>
      <c r="AJ87" s="17"/>
      <c r="AK87" s="17"/>
      <c r="AL87" s="17"/>
      <c r="AM87" s="17"/>
      <c r="AN87" s="17"/>
      <c r="AO87" s="17"/>
      <c r="AP87" s="17"/>
      <c r="AQ87" s="17"/>
      <c r="AR87" s="17"/>
      <c r="AS87" s="17"/>
      <c r="AT87" s="17"/>
      <c r="AU87" s="17"/>
      <c r="AV87" s="17"/>
      <c r="AW87" s="17"/>
      <c r="AX87" s="17"/>
      <c r="AY87" s="17"/>
    </row>
    <row r="88" ht="17.45" customHeight="1">
      <c r="A88" t="s" s="167">
        <v>1878</v>
      </c>
      <c r="B88" s="105"/>
      <c r="C88" s="108">
        <v>12</v>
      </c>
      <c r="D88" t="s" s="167">
        <v>1731</v>
      </c>
      <c r="E88" t="s" s="167">
        <v>1879</v>
      </c>
      <c r="F88" t="s" s="167">
        <v>1880</v>
      </c>
      <c r="G88" s="105"/>
      <c r="H88" s="108">
        <v>1</v>
      </c>
      <c r="I88" s="105"/>
      <c r="J88" s="105"/>
      <c r="K88" s="108">
        <v>1</v>
      </c>
      <c r="L88" s="105"/>
      <c r="M88" s="105"/>
      <c r="N88" s="105"/>
      <c r="O88" s="105"/>
      <c r="P88" s="105"/>
      <c r="Q88" s="255">
        <v>47</v>
      </c>
      <c r="R88" s="308"/>
      <c r="S88" s="255">
        <v>1</v>
      </c>
      <c r="T88" s="105"/>
      <c r="U88" s="105"/>
      <c r="V88" s="105"/>
      <c r="W88" s="105"/>
      <c r="X88" t="s" s="167">
        <v>1881</v>
      </c>
      <c r="Y88" s="105"/>
      <c r="Z88" s="108">
        <v>1</v>
      </c>
      <c r="AA88" s="108">
        <v>1</v>
      </c>
      <c r="AB88" s="105"/>
      <c r="AC88" s="105"/>
      <c r="AD88" t="s" s="167">
        <v>240</v>
      </c>
      <c r="AE88" s="105"/>
      <c r="AF88" s="251"/>
      <c r="AG88" s="115"/>
      <c r="AH88" s="17"/>
      <c r="AI88" s="17"/>
      <c r="AJ88" s="17"/>
      <c r="AK88" s="17"/>
      <c r="AL88" s="17"/>
      <c r="AM88" s="17"/>
      <c r="AN88" s="17"/>
      <c r="AO88" s="17"/>
      <c r="AP88" s="17"/>
      <c r="AQ88" s="17"/>
      <c r="AR88" s="17"/>
      <c r="AS88" s="17"/>
      <c r="AT88" s="17"/>
      <c r="AU88" s="17"/>
      <c r="AV88" s="17"/>
      <c r="AW88" s="17"/>
      <c r="AX88" s="17"/>
      <c r="AY88" s="17"/>
    </row>
    <row r="89" ht="17.45" customHeight="1">
      <c r="A89" t="s" s="167">
        <v>1878</v>
      </c>
      <c r="B89" s="105"/>
      <c r="C89" s="108">
        <v>12</v>
      </c>
      <c r="D89" t="s" s="167">
        <v>1731</v>
      </c>
      <c r="E89" t="s" s="167">
        <v>997</v>
      </c>
      <c r="F89" t="s" s="167">
        <v>1262</v>
      </c>
      <c r="G89" s="108">
        <v>1</v>
      </c>
      <c r="H89" s="105"/>
      <c r="I89" s="105"/>
      <c r="J89" s="105"/>
      <c r="K89" s="105"/>
      <c r="L89" s="105"/>
      <c r="M89" s="105"/>
      <c r="N89" s="105"/>
      <c r="O89" s="105"/>
      <c r="P89" s="108">
        <v>1</v>
      </c>
      <c r="Q89" s="255">
        <v>40</v>
      </c>
      <c r="R89" s="308"/>
      <c r="S89" s="254"/>
      <c r="T89" s="108">
        <v>1</v>
      </c>
      <c r="U89" s="108">
        <v>12</v>
      </c>
      <c r="V89" s="105"/>
      <c r="W89" s="105"/>
      <c r="X89" t="s" s="167">
        <v>830</v>
      </c>
      <c r="Y89" s="105"/>
      <c r="Z89" s="108">
        <v>1</v>
      </c>
      <c r="AA89" s="105"/>
      <c r="AB89" s="108">
        <v>1</v>
      </c>
      <c r="AC89" s="108">
        <v>1</v>
      </c>
      <c r="AD89" s="105"/>
      <c r="AE89" s="105"/>
      <c r="AF89" s="251"/>
      <c r="AG89" s="115"/>
      <c r="AH89" s="17"/>
      <c r="AI89" s="17"/>
      <c r="AJ89" s="17"/>
      <c r="AK89" s="17"/>
      <c r="AL89" s="17"/>
      <c r="AM89" s="17"/>
      <c r="AN89" s="17"/>
      <c r="AO89" s="17"/>
      <c r="AP89" s="17"/>
      <c r="AQ89" s="17"/>
      <c r="AR89" s="17"/>
      <c r="AS89" s="17"/>
      <c r="AT89" s="17"/>
      <c r="AU89" s="17"/>
      <c r="AV89" s="17"/>
      <c r="AW89" s="17"/>
      <c r="AX89" s="17"/>
      <c r="AY89" s="17"/>
    </row>
    <row r="90" ht="17.45" customHeight="1">
      <c r="A90" t="s" s="167">
        <v>1882</v>
      </c>
      <c r="B90" s="105"/>
      <c r="C90" s="108">
        <v>8</v>
      </c>
      <c r="D90" t="s" s="167">
        <v>1731</v>
      </c>
      <c r="E90" t="s" s="167">
        <v>761</v>
      </c>
      <c r="F90" t="s" s="167">
        <v>1883</v>
      </c>
      <c r="G90" s="105"/>
      <c r="H90" s="108">
        <v>1</v>
      </c>
      <c r="I90" s="105"/>
      <c r="J90" s="105"/>
      <c r="K90" s="108">
        <v>1</v>
      </c>
      <c r="L90" s="105"/>
      <c r="M90" s="105"/>
      <c r="N90" s="105"/>
      <c r="O90" s="105"/>
      <c r="P90" s="105"/>
      <c r="Q90" s="255">
        <v>40</v>
      </c>
      <c r="R90" s="308">
        <v>1</v>
      </c>
      <c r="S90" s="254"/>
      <c r="T90" s="105"/>
      <c r="U90" s="105"/>
      <c r="V90" s="105"/>
      <c r="W90" s="105"/>
      <c r="X90" t="s" s="167">
        <v>1884</v>
      </c>
      <c r="Y90" t="s" s="167">
        <v>1885</v>
      </c>
      <c r="Z90" s="108">
        <v>1</v>
      </c>
      <c r="AA90" s="105"/>
      <c r="AB90" s="105"/>
      <c r="AC90" s="108">
        <v>1</v>
      </c>
      <c r="AD90" s="105"/>
      <c r="AE90" s="105"/>
      <c r="AF90" s="251"/>
      <c r="AG90" s="115"/>
      <c r="AH90" s="17"/>
      <c r="AI90" s="17"/>
      <c r="AJ90" s="17"/>
      <c r="AK90" s="17"/>
      <c r="AL90" s="17"/>
      <c r="AM90" s="17"/>
      <c r="AN90" s="17"/>
      <c r="AO90" s="17"/>
      <c r="AP90" s="17"/>
      <c r="AQ90" s="17"/>
      <c r="AR90" s="17"/>
      <c r="AS90" s="17"/>
      <c r="AT90" s="17"/>
      <c r="AU90" s="17"/>
      <c r="AV90" s="17"/>
      <c r="AW90" s="17"/>
      <c r="AX90" s="17"/>
      <c r="AY90" s="17"/>
    </row>
    <row r="91" ht="17.45" customHeight="1">
      <c r="A91" t="s" s="167">
        <v>1882</v>
      </c>
      <c r="B91" s="105"/>
      <c r="C91" s="108">
        <v>8</v>
      </c>
      <c r="D91" t="s" s="167">
        <v>1731</v>
      </c>
      <c r="E91" t="s" s="167">
        <v>761</v>
      </c>
      <c r="F91" t="s" s="167">
        <v>1886</v>
      </c>
      <c r="G91" s="108">
        <v>1</v>
      </c>
      <c r="H91" s="105"/>
      <c r="I91" s="105"/>
      <c r="J91" s="105"/>
      <c r="K91" s="105"/>
      <c r="L91" s="108">
        <v>1</v>
      </c>
      <c r="M91" s="105"/>
      <c r="N91" s="105"/>
      <c r="O91" s="105"/>
      <c r="P91" s="105"/>
      <c r="Q91" s="255">
        <v>36</v>
      </c>
      <c r="R91" s="308">
        <v>1</v>
      </c>
      <c r="S91" s="254"/>
      <c r="T91" s="105"/>
      <c r="U91" s="108">
        <v>10</v>
      </c>
      <c r="V91" s="108">
        <v>1</v>
      </c>
      <c r="W91" s="108">
        <v>1</v>
      </c>
      <c r="X91" s="105"/>
      <c r="Y91" s="105"/>
      <c r="Z91" s="105"/>
      <c r="AA91" s="105"/>
      <c r="AB91" s="105"/>
      <c r="AC91" s="108">
        <v>1</v>
      </c>
      <c r="AD91" s="105"/>
      <c r="AE91" s="105"/>
      <c r="AF91" s="251"/>
      <c r="AG91" s="115"/>
      <c r="AH91" s="17"/>
      <c r="AI91" s="17"/>
      <c r="AJ91" s="17"/>
      <c r="AK91" s="17"/>
      <c r="AL91" s="17"/>
      <c r="AM91" s="17"/>
      <c r="AN91" s="17"/>
      <c r="AO91" s="17"/>
      <c r="AP91" s="17"/>
      <c r="AQ91" s="17"/>
      <c r="AR91" s="17"/>
      <c r="AS91" s="17"/>
      <c r="AT91" s="17"/>
      <c r="AU91" s="17"/>
      <c r="AV91" s="17"/>
      <c r="AW91" s="17"/>
      <c r="AX91" s="17"/>
      <c r="AY91" s="17"/>
    </row>
    <row r="92" ht="17.45" customHeight="1">
      <c r="A92" t="s" s="167">
        <v>1882</v>
      </c>
      <c r="B92" s="105"/>
      <c r="C92" s="108">
        <v>8</v>
      </c>
      <c r="D92" t="s" s="167">
        <v>1731</v>
      </c>
      <c r="E92" t="s" s="167">
        <v>160</v>
      </c>
      <c r="F92" t="s" s="167">
        <v>49</v>
      </c>
      <c r="G92" s="108">
        <v>1</v>
      </c>
      <c r="H92" s="105"/>
      <c r="I92" s="105"/>
      <c r="J92" s="105"/>
      <c r="K92" s="105"/>
      <c r="L92" s="105"/>
      <c r="M92" s="105"/>
      <c r="N92" s="105"/>
      <c r="O92" t="s" s="167">
        <v>83</v>
      </c>
      <c r="P92" s="105"/>
      <c r="Q92" s="255">
        <v>61</v>
      </c>
      <c r="R92" s="308"/>
      <c r="S92" s="255">
        <v>1</v>
      </c>
      <c r="T92" s="105"/>
      <c r="U92" s="105"/>
      <c r="V92" s="105"/>
      <c r="W92" s="105"/>
      <c r="X92" t="s" s="167">
        <v>1887</v>
      </c>
      <c r="Y92" t="s" s="167">
        <v>1888</v>
      </c>
      <c r="Z92" s="108">
        <v>1</v>
      </c>
      <c r="AA92" s="105"/>
      <c r="AB92" s="105"/>
      <c r="AC92" s="105"/>
      <c r="AD92" t="s" s="167">
        <v>1346</v>
      </c>
      <c r="AE92" s="105"/>
      <c r="AF92" s="251"/>
      <c r="AG92" s="115"/>
      <c r="AH92" s="17"/>
      <c r="AI92" s="17"/>
      <c r="AJ92" s="17"/>
      <c r="AK92" s="17"/>
      <c r="AL92" s="17"/>
      <c r="AM92" s="17"/>
      <c r="AN92" s="17"/>
      <c r="AO92" s="17"/>
      <c r="AP92" s="17"/>
      <c r="AQ92" s="17"/>
      <c r="AR92" s="17"/>
      <c r="AS92" s="17"/>
      <c r="AT92" s="17"/>
      <c r="AU92" s="17"/>
      <c r="AV92" s="17"/>
      <c r="AW92" s="17"/>
      <c r="AX92" s="17"/>
      <c r="AY92" s="17"/>
    </row>
    <row r="93" ht="17.45" customHeight="1">
      <c r="A93" t="s" s="167">
        <v>1882</v>
      </c>
      <c r="B93" s="105"/>
      <c r="C93" s="108">
        <v>8</v>
      </c>
      <c r="D93" t="s" s="167">
        <v>1731</v>
      </c>
      <c r="E93" t="s" s="167">
        <v>1889</v>
      </c>
      <c r="F93" t="s" s="167">
        <v>1890</v>
      </c>
      <c r="G93" s="108">
        <v>1</v>
      </c>
      <c r="H93" s="105"/>
      <c r="I93" s="105"/>
      <c r="J93" s="105"/>
      <c r="K93" s="105"/>
      <c r="L93" s="105"/>
      <c r="M93" s="105"/>
      <c r="N93" s="105"/>
      <c r="O93" s="105"/>
      <c r="P93" s="108">
        <v>1</v>
      </c>
      <c r="Q93" s="255">
        <v>16</v>
      </c>
      <c r="R93" s="308"/>
      <c r="S93" s="255">
        <v>1</v>
      </c>
      <c r="T93" s="105"/>
      <c r="U93" s="105"/>
      <c r="V93" s="105"/>
      <c r="W93" s="105"/>
      <c r="X93" t="s" s="167">
        <v>231</v>
      </c>
      <c r="Y93" s="105"/>
      <c r="Z93" s="108">
        <v>1</v>
      </c>
      <c r="AA93" s="105"/>
      <c r="AB93" s="105"/>
      <c r="AC93" s="108">
        <v>1</v>
      </c>
      <c r="AD93" s="105"/>
      <c r="AE93" s="105"/>
      <c r="AF93" s="251"/>
      <c r="AG93" s="115"/>
      <c r="AH93" s="17"/>
      <c r="AI93" s="17"/>
      <c r="AJ93" s="17"/>
      <c r="AK93" s="17"/>
      <c r="AL93" s="17"/>
      <c r="AM93" s="17"/>
      <c r="AN93" s="17"/>
      <c r="AO93" s="17"/>
      <c r="AP93" s="17"/>
      <c r="AQ93" s="17"/>
      <c r="AR93" s="17"/>
      <c r="AS93" s="17"/>
      <c r="AT93" s="17"/>
      <c r="AU93" s="17"/>
      <c r="AV93" s="17"/>
      <c r="AW93" s="17"/>
      <c r="AX93" s="17"/>
      <c r="AY93" s="17"/>
    </row>
    <row r="94" ht="17.45" customHeight="1">
      <c r="A94" t="s" s="167">
        <v>1882</v>
      </c>
      <c r="B94" s="105"/>
      <c r="C94" s="108">
        <v>8</v>
      </c>
      <c r="D94" t="s" s="167">
        <v>1731</v>
      </c>
      <c r="E94" t="s" s="167">
        <v>1891</v>
      </c>
      <c r="F94" t="s" s="167">
        <v>1892</v>
      </c>
      <c r="G94" s="105"/>
      <c r="H94" s="108">
        <v>1</v>
      </c>
      <c r="I94" s="105"/>
      <c r="J94" s="105"/>
      <c r="K94" s="108">
        <v>1</v>
      </c>
      <c r="L94" s="105"/>
      <c r="M94" s="105"/>
      <c r="N94" s="105"/>
      <c r="O94" s="105"/>
      <c r="P94" s="105"/>
      <c r="Q94" s="255">
        <v>52</v>
      </c>
      <c r="R94" s="308">
        <v>1</v>
      </c>
      <c r="S94" s="254"/>
      <c r="T94" s="105"/>
      <c r="U94" s="105"/>
      <c r="V94" s="105"/>
      <c r="W94" s="105"/>
      <c r="X94" t="s" s="167">
        <v>1893</v>
      </c>
      <c r="Y94" s="105"/>
      <c r="Z94" s="108">
        <v>1</v>
      </c>
      <c r="AA94" s="108">
        <v>1</v>
      </c>
      <c r="AB94" s="105"/>
      <c r="AC94" s="105"/>
      <c r="AD94" t="s" s="167">
        <v>146</v>
      </c>
      <c r="AE94" s="105"/>
      <c r="AF94" s="253">
        <v>7</v>
      </c>
      <c r="AG94" s="115"/>
      <c r="AH94" s="17"/>
      <c r="AI94" s="17"/>
      <c r="AJ94" s="17"/>
      <c r="AK94" s="17"/>
      <c r="AL94" s="17"/>
      <c r="AM94" s="17"/>
      <c r="AN94" s="17"/>
      <c r="AO94" s="17"/>
      <c r="AP94" s="17"/>
      <c r="AQ94" s="17"/>
      <c r="AR94" s="17"/>
      <c r="AS94" s="17"/>
      <c r="AT94" s="17"/>
      <c r="AU94" s="17"/>
      <c r="AV94" s="17"/>
      <c r="AW94" s="17"/>
      <c r="AX94" s="17"/>
      <c r="AY94" s="17"/>
    </row>
    <row r="95" ht="17.45" customHeight="1">
      <c r="A95" t="s" s="167">
        <v>1882</v>
      </c>
      <c r="B95" s="105"/>
      <c r="C95" s="108">
        <v>8</v>
      </c>
      <c r="D95" t="s" s="167">
        <v>1731</v>
      </c>
      <c r="E95" t="s" s="167">
        <v>1891</v>
      </c>
      <c r="F95" t="s" s="167">
        <v>1494</v>
      </c>
      <c r="G95" s="108">
        <v>1</v>
      </c>
      <c r="H95" s="105"/>
      <c r="I95" s="105"/>
      <c r="J95" s="105"/>
      <c r="K95" s="105"/>
      <c r="L95" s="108">
        <v>1</v>
      </c>
      <c r="M95" s="105"/>
      <c r="N95" s="105"/>
      <c r="O95" s="105"/>
      <c r="P95" s="105"/>
      <c r="Q95" s="255">
        <v>47</v>
      </c>
      <c r="R95" s="308">
        <v>1</v>
      </c>
      <c r="S95" s="254"/>
      <c r="T95" s="105"/>
      <c r="U95" s="108">
        <v>23</v>
      </c>
      <c r="V95" s="108">
        <v>3</v>
      </c>
      <c r="W95" s="108">
        <v>2</v>
      </c>
      <c r="X95" s="105"/>
      <c r="Y95" s="105"/>
      <c r="Z95" s="105"/>
      <c r="AA95" s="105"/>
      <c r="AB95" s="105"/>
      <c r="AC95" s="105"/>
      <c r="AD95" t="s" s="167">
        <v>1269</v>
      </c>
      <c r="AE95" s="105"/>
      <c r="AF95" s="251"/>
      <c r="AG95" s="115"/>
      <c r="AH95" s="17"/>
      <c r="AI95" s="17"/>
      <c r="AJ95" s="17"/>
      <c r="AK95" s="17"/>
      <c r="AL95" s="17"/>
      <c r="AM95" s="17"/>
      <c r="AN95" s="17"/>
      <c r="AO95" s="17"/>
      <c r="AP95" s="17"/>
      <c r="AQ95" s="17"/>
      <c r="AR95" s="17"/>
      <c r="AS95" s="17"/>
      <c r="AT95" s="17"/>
      <c r="AU95" s="17"/>
      <c r="AV95" s="17"/>
      <c r="AW95" s="17"/>
      <c r="AX95" s="17"/>
      <c r="AY95" s="17"/>
    </row>
    <row r="96" ht="17.45" customHeight="1">
      <c r="A96" t="s" s="167">
        <v>1882</v>
      </c>
      <c r="B96" s="105"/>
      <c r="C96" s="108">
        <v>8</v>
      </c>
      <c r="D96" t="s" s="167">
        <v>1731</v>
      </c>
      <c r="E96" t="s" s="167">
        <v>1891</v>
      </c>
      <c r="F96" t="s" s="167">
        <v>1894</v>
      </c>
      <c r="G96" s="105"/>
      <c r="H96" s="105"/>
      <c r="I96" s="105"/>
      <c r="J96" s="108">
        <v>1</v>
      </c>
      <c r="K96" s="105"/>
      <c r="L96" s="105"/>
      <c r="M96" s="105"/>
      <c r="N96" s="108">
        <v>1</v>
      </c>
      <c r="O96" s="105"/>
      <c r="P96" s="105"/>
      <c r="Q96" s="255">
        <v>9</v>
      </c>
      <c r="R96" s="308"/>
      <c r="S96" s="254"/>
      <c r="T96" s="105"/>
      <c r="U96" s="105"/>
      <c r="V96" s="105"/>
      <c r="W96" s="105"/>
      <c r="X96" t="s" s="167">
        <v>1105</v>
      </c>
      <c r="Y96" s="105"/>
      <c r="Z96" s="105"/>
      <c r="AA96" s="105"/>
      <c r="AB96" s="105"/>
      <c r="AC96" s="105"/>
      <c r="AD96" t="s" s="167">
        <v>146</v>
      </c>
      <c r="AE96" s="105"/>
      <c r="AF96" s="251"/>
      <c r="AG96" s="115"/>
      <c r="AH96" s="17"/>
      <c r="AI96" s="17"/>
      <c r="AJ96" s="17"/>
      <c r="AK96" s="17"/>
      <c r="AL96" s="17"/>
      <c r="AM96" s="17"/>
      <c r="AN96" s="17"/>
      <c r="AO96" s="17"/>
      <c r="AP96" s="17"/>
      <c r="AQ96" s="17"/>
      <c r="AR96" s="17"/>
      <c r="AS96" s="17"/>
      <c r="AT96" s="17"/>
      <c r="AU96" s="17"/>
      <c r="AV96" s="17"/>
      <c r="AW96" s="17"/>
      <c r="AX96" s="17"/>
      <c r="AY96" s="17"/>
    </row>
    <row r="97" ht="17.45" customHeight="1">
      <c r="A97" t="s" s="167">
        <v>1895</v>
      </c>
      <c r="B97" s="105"/>
      <c r="C97" s="108">
        <v>2</v>
      </c>
      <c r="D97" t="s" s="167">
        <v>1731</v>
      </c>
      <c r="E97" t="s" s="167">
        <v>1896</v>
      </c>
      <c r="F97" t="s" s="167">
        <v>1897</v>
      </c>
      <c r="G97" s="105"/>
      <c r="H97" s="108">
        <v>1</v>
      </c>
      <c r="I97" s="105"/>
      <c r="J97" s="105"/>
      <c r="K97" s="108">
        <v>1</v>
      </c>
      <c r="L97" s="105"/>
      <c r="M97" s="105"/>
      <c r="N97" s="105"/>
      <c r="O97" s="105"/>
      <c r="P97" s="105"/>
      <c r="Q97" s="255">
        <v>37</v>
      </c>
      <c r="R97" s="308">
        <v>1</v>
      </c>
      <c r="S97" s="254"/>
      <c r="T97" s="105"/>
      <c r="U97" s="105"/>
      <c r="V97" s="105"/>
      <c r="W97" s="105"/>
      <c r="X97" t="s" s="167">
        <v>1898</v>
      </c>
      <c r="Y97" t="s" s="167">
        <v>1899</v>
      </c>
      <c r="Z97" s="108">
        <v>1</v>
      </c>
      <c r="AA97" s="105"/>
      <c r="AB97" s="105"/>
      <c r="AC97" s="108">
        <v>1</v>
      </c>
      <c r="AD97" s="105"/>
      <c r="AE97" s="105"/>
      <c r="AF97" s="251"/>
      <c r="AG97" s="115"/>
      <c r="AH97" s="17"/>
      <c r="AI97" s="17"/>
      <c r="AJ97" s="17"/>
      <c r="AK97" s="17"/>
      <c r="AL97" s="17"/>
      <c r="AM97" s="17"/>
      <c r="AN97" s="17"/>
      <c r="AO97" s="17"/>
      <c r="AP97" s="17"/>
      <c r="AQ97" s="17"/>
      <c r="AR97" s="17"/>
      <c r="AS97" s="17"/>
      <c r="AT97" s="17"/>
      <c r="AU97" s="17"/>
      <c r="AV97" s="17"/>
      <c r="AW97" s="17"/>
      <c r="AX97" s="17"/>
      <c r="AY97" s="17"/>
    </row>
    <row r="98" ht="17.45" customHeight="1">
      <c r="A98" t="s" s="167">
        <v>1895</v>
      </c>
      <c r="B98" s="105"/>
      <c r="C98" s="108">
        <v>2</v>
      </c>
      <c r="D98" t="s" s="167">
        <v>1731</v>
      </c>
      <c r="E98" t="s" s="167">
        <v>1896</v>
      </c>
      <c r="F98" t="s" s="167">
        <v>1150</v>
      </c>
      <c r="G98" s="108">
        <v>1</v>
      </c>
      <c r="H98" s="105"/>
      <c r="I98" s="105"/>
      <c r="J98" s="105"/>
      <c r="K98" s="105"/>
      <c r="L98" s="108">
        <v>1</v>
      </c>
      <c r="M98" s="105"/>
      <c r="N98" s="105"/>
      <c r="O98" s="105"/>
      <c r="P98" s="105"/>
      <c r="Q98" s="255">
        <v>32</v>
      </c>
      <c r="R98" s="308">
        <v>1</v>
      </c>
      <c r="S98" s="254"/>
      <c r="T98" s="105"/>
      <c r="U98" s="108">
        <v>3</v>
      </c>
      <c r="V98" s="108">
        <v>1</v>
      </c>
      <c r="W98" s="108">
        <v>1</v>
      </c>
      <c r="X98" s="105"/>
      <c r="Y98" s="105"/>
      <c r="Z98" s="105"/>
      <c r="AA98" s="105"/>
      <c r="AB98" s="105"/>
      <c r="AC98" s="105"/>
      <c r="AD98" t="s" s="167">
        <v>187</v>
      </c>
      <c r="AE98" t="s" s="167">
        <v>1900</v>
      </c>
      <c r="AF98" s="253">
        <v>8</v>
      </c>
      <c r="AG98" s="115"/>
      <c r="AH98" s="17"/>
      <c r="AI98" s="17"/>
      <c r="AJ98" s="17"/>
      <c r="AK98" s="17"/>
      <c r="AL98" s="17"/>
      <c r="AM98" s="17"/>
      <c r="AN98" s="17"/>
      <c r="AO98" s="17"/>
      <c r="AP98" s="17"/>
      <c r="AQ98" s="17"/>
      <c r="AR98" s="17"/>
      <c r="AS98" s="17"/>
      <c r="AT98" s="17"/>
      <c r="AU98" s="17"/>
      <c r="AV98" s="17"/>
      <c r="AW98" s="17"/>
      <c r="AX98" s="17"/>
      <c r="AY98" s="17"/>
    </row>
    <row r="99" ht="17.45" customHeight="1">
      <c r="A99" t="s" s="167">
        <v>1895</v>
      </c>
      <c r="B99" s="105"/>
      <c r="C99" s="108">
        <v>2</v>
      </c>
      <c r="D99" t="s" s="167">
        <v>1731</v>
      </c>
      <c r="E99" t="s" s="167">
        <v>1896</v>
      </c>
      <c r="F99" t="s" s="167">
        <v>1901</v>
      </c>
      <c r="G99" s="105"/>
      <c r="H99" s="105"/>
      <c r="I99" s="108">
        <v>1</v>
      </c>
      <c r="J99" s="105"/>
      <c r="K99" s="105"/>
      <c r="L99" s="105"/>
      <c r="M99" s="108">
        <v>1</v>
      </c>
      <c r="N99" s="105"/>
      <c r="O99" s="105"/>
      <c r="P99" s="105"/>
      <c r="Q99" s="255">
        <v>1</v>
      </c>
      <c r="R99" s="308"/>
      <c r="S99" s="254"/>
      <c r="T99" s="105"/>
      <c r="U99" s="105"/>
      <c r="V99" s="105"/>
      <c r="W99" s="105"/>
      <c r="X99" s="105"/>
      <c r="Y99" s="105"/>
      <c r="Z99" s="105"/>
      <c r="AA99" s="105"/>
      <c r="AB99" s="105"/>
      <c r="AC99" s="105"/>
      <c r="AD99" t="s" s="167">
        <v>1297</v>
      </c>
      <c r="AE99" s="105"/>
      <c r="AF99" s="251"/>
      <c r="AG99" s="115"/>
      <c r="AH99" s="17"/>
      <c r="AI99" s="17"/>
      <c r="AJ99" s="17"/>
      <c r="AK99" s="17"/>
      <c r="AL99" s="17"/>
      <c r="AM99" s="17"/>
      <c r="AN99" s="17"/>
      <c r="AO99" s="17"/>
      <c r="AP99" s="17"/>
      <c r="AQ99" s="17"/>
      <c r="AR99" s="17"/>
      <c r="AS99" s="17"/>
      <c r="AT99" s="17"/>
      <c r="AU99" s="17"/>
      <c r="AV99" s="17"/>
      <c r="AW99" s="17"/>
      <c r="AX99" s="17"/>
      <c r="AY99" s="17"/>
    </row>
    <row r="100" ht="17.45" customHeight="1">
      <c r="A100" t="s" s="167">
        <v>1895</v>
      </c>
      <c r="B100" s="105"/>
      <c r="C100" s="108">
        <v>2</v>
      </c>
      <c r="D100" t="s" s="167">
        <v>1731</v>
      </c>
      <c r="E100" t="s" s="167">
        <v>1896</v>
      </c>
      <c r="F100" t="s" s="167">
        <v>1902</v>
      </c>
      <c r="G100" s="108">
        <v>1</v>
      </c>
      <c r="H100" s="105"/>
      <c r="I100" s="105"/>
      <c r="J100" s="105"/>
      <c r="K100" s="105"/>
      <c r="L100" s="105"/>
      <c r="M100" s="105"/>
      <c r="N100" s="105"/>
      <c r="O100" t="s" s="167">
        <v>1798</v>
      </c>
      <c r="P100" s="105"/>
      <c r="Q100" s="255">
        <v>57</v>
      </c>
      <c r="R100" s="308"/>
      <c r="S100" s="254"/>
      <c r="T100" s="108">
        <v>1</v>
      </c>
      <c r="U100" s="105"/>
      <c r="V100" s="105"/>
      <c r="W100" s="105"/>
      <c r="X100" s="105"/>
      <c r="Y100" s="105"/>
      <c r="Z100" s="105"/>
      <c r="AA100" s="105"/>
      <c r="AB100" s="105"/>
      <c r="AC100" s="105"/>
      <c r="AD100" t="s" s="167">
        <v>1240</v>
      </c>
      <c r="AE100" s="105"/>
      <c r="AF100" s="251"/>
      <c r="AG100" s="115"/>
      <c r="AH100" s="17"/>
      <c r="AI100" s="17"/>
      <c r="AJ100" s="17"/>
      <c r="AK100" s="17"/>
      <c r="AL100" s="17"/>
      <c r="AM100" s="17"/>
      <c r="AN100" s="17"/>
      <c r="AO100" s="17"/>
      <c r="AP100" s="17"/>
      <c r="AQ100" s="17"/>
      <c r="AR100" s="17"/>
      <c r="AS100" s="17"/>
      <c r="AT100" s="17"/>
      <c r="AU100" s="17"/>
      <c r="AV100" s="17"/>
      <c r="AW100" s="17"/>
      <c r="AX100" s="17"/>
      <c r="AY100" s="17"/>
    </row>
    <row r="101" ht="17.45" customHeight="1">
      <c r="A101" t="s" s="167">
        <v>1895</v>
      </c>
      <c r="B101" s="105"/>
      <c r="C101" s="108">
        <v>2</v>
      </c>
      <c r="D101" t="s" s="167">
        <v>1731</v>
      </c>
      <c r="E101" t="s" s="167">
        <v>153</v>
      </c>
      <c r="F101" t="s" s="167">
        <v>1903</v>
      </c>
      <c r="G101" s="108">
        <v>1</v>
      </c>
      <c r="H101" s="105"/>
      <c r="I101" s="105"/>
      <c r="J101" s="105"/>
      <c r="K101" s="105"/>
      <c r="L101" s="105"/>
      <c r="M101" s="105"/>
      <c r="N101" s="105"/>
      <c r="O101" t="s" s="167">
        <v>1904</v>
      </c>
      <c r="P101" s="105"/>
      <c r="Q101" s="255">
        <v>26</v>
      </c>
      <c r="R101" s="308"/>
      <c r="S101" s="255">
        <v>1</v>
      </c>
      <c r="T101" s="105"/>
      <c r="U101" s="105"/>
      <c r="V101" s="105"/>
      <c r="W101" s="105"/>
      <c r="X101" s="105"/>
      <c r="Y101" s="105"/>
      <c r="Z101" s="105"/>
      <c r="AA101" s="105"/>
      <c r="AB101" s="105"/>
      <c r="AC101" s="105"/>
      <c r="AD101" t="s" s="167">
        <v>1297</v>
      </c>
      <c r="AE101" s="105"/>
      <c r="AF101" s="251"/>
      <c r="AG101" s="115"/>
      <c r="AH101" s="17"/>
      <c r="AI101" s="17"/>
      <c r="AJ101" s="17"/>
      <c r="AK101" s="17"/>
      <c r="AL101" s="17"/>
      <c r="AM101" s="17"/>
      <c r="AN101" s="17"/>
      <c r="AO101" s="17"/>
      <c r="AP101" s="17"/>
      <c r="AQ101" s="17"/>
      <c r="AR101" s="17"/>
      <c r="AS101" s="17"/>
      <c r="AT101" s="17"/>
      <c r="AU101" s="17"/>
      <c r="AV101" s="17"/>
      <c r="AW101" s="17"/>
      <c r="AX101" s="17"/>
      <c r="AY101" s="17"/>
    </row>
    <row r="102" ht="17.45" customHeight="1">
      <c r="A102" t="s" s="167">
        <v>1895</v>
      </c>
      <c r="B102" s="105"/>
      <c r="C102" s="108">
        <v>2</v>
      </c>
      <c r="D102" t="s" s="167">
        <v>1731</v>
      </c>
      <c r="E102" t="s" s="167">
        <v>1905</v>
      </c>
      <c r="F102" t="s" s="167">
        <v>1906</v>
      </c>
      <c r="G102" s="108">
        <v>1</v>
      </c>
      <c r="H102" s="105"/>
      <c r="I102" s="105"/>
      <c r="J102" s="105"/>
      <c r="K102" s="105"/>
      <c r="L102" s="105"/>
      <c r="M102" s="105"/>
      <c r="N102" s="105"/>
      <c r="O102" t="s" s="167">
        <v>900</v>
      </c>
      <c r="P102" s="105"/>
      <c r="Q102" s="255">
        <v>26</v>
      </c>
      <c r="R102" s="308"/>
      <c r="S102" s="255">
        <v>1</v>
      </c>
      <c r="T102" s="105"/>
      <c r="U102" s="105"/>
      <c r="V102" s="105"/>
      <c r="W102" s="105"/>
      <c r="X102" t="s" s="167">
        <v>1907</v>
      </c>
      <c r="Y102" t="s" s="167">
        <v>1908</v>
      </c>
      <c r="Z102" s="108">
        <v>1</v>
      </c>
      <c r="AA102" s="105"/>
      <c r="AB102" s="108">
        <v>1</v>
      </c>
      <c r="AC102" s="105"/>
      <c r="AD102" t="s" s="167">
        <v>1297</v>
      </c>
      <c r="AE102" s="105"/>
      <c r="AF102" s="251"/>
      <c r="AG102" s="115"/>
      <c r="AH102" s="17"/>
      <c r="AI102" s="17"/>
      <c r="AJ102" s="17"/>
      <c r="AK102" s="17"/>
      <c r="AL102" s="17"/>
      <c r="AM102" s="17"/>
      <c r="AN102" s="17"/>
      <c r="AO102" s="17"/>
      <c r="AP102" s="17"/>
      <c r="AQ102" s="17"/>
      <c r="AR102" s="17"/>
      <c r="AS102" s="17"/>
      <c r="AT102" s="17"/>
      <c r="AU102" s="17"/>
      <c r="AV102" s="17"/>
      <c r="AW102" s="17"/>
      <c r="AX102" s="17"/>
      <c r="AY102" s="17"/>
    </row>
    <row r="103" ht="17" customHeight="1">
      <c r="A103" t="s" s="315">
        <v>285</v>
      </c>
      <c r="B103" s="180"/>
      <c r="C103" s="316">
        <v>20</v>
      </c>
      <c r="D103" t="s" s="167">
        <v>1731</v>
      </c>
      <c r="E103" s="317">
        <v>42</v>
      </c>
      <c r="F103" s="119">
        <v>100</v>
      </c>
      <c r="G103" s="119">
        <f>SUM(G3:G102)</f>
        <v>53</v>
      </c>
      <c r="H103" s="119">
        <f>SUM(H3:H102)</f>
        <v>32</v>
      </c>
      <c r="I103" s="119">
        <f>SUM(I3:I102)</f>
        <v>8</v>
      </c>
      <c r="J103" s="119">
        <f>SUM(J3:J102)</f>
        <v>7</v>
      </c>
      <c r="K103" s="119">
        <f>SUM(K3:K102)</f>
        <v>21</v>
      </c>
      <c r="L103" s="119">
        <f>SUM(L3:L102)</f>
        <v>11</v>
      </c>
      <c r="M103" s="119">
        <f>SUM(M3:M102)</f>
        <v>23</v>
      </c>
      <c r="N103" s="119">
        <f>SUM(N3:N102)</f>
        <v>18</v>
      </c>
      <c r="O103" s="119">
        <v>15</v>
      </c>
      <c r="P103" s="119">
        <f>SUM(P3:P102)</f>
        <v>12</v>
      </c>
      <c r="Q103" s="119">
        <f>SUM(Q3:Q102)</f>
        <v>3339</v>
      </c>
      <c r="R103" s="119">
        <f>SUM(R3:R102)</f>
        <v>25</v>
      </c>
      <c r="S103" s="119">
        <f>SUM(S3:S102)</f>
        <v>49</v>
      </c>
      <c r="T103" s="119">
        <f>SUM(T3:T102)</f>
        <v>11</v>
      </c>
      <c r="U103" s="119">
        <f>SUM(U3:U102)</f>
        <v>321</v>
      </c>
      <c r="V103" s="119">
        <f>SUM(V3:V102)</f>
        <v>48</v>
      </c>
      <c r="W103" s="119">
        <f>SUM(W3:W102)</f>
        <v>40</v>
      </c>
      <c r="X103" s="119">
        <f>SUM(X3:X102)</f>
        <v>0</v>
      </c>
      <c r="Y103" s="119">
        <f>SUM(Y3:Y102)</f>
        <v>0</v>
      </c>
      <c r="Z103" s="119">
        <f>SUM(Z3:Z102)</f>
        <v>55</v>
      </c>
      <c r="AA103" s="119">
        <f>SUM(AA3:AA102)</f>
        <v>7</v>
      </c>
      <c r="AB103" s="119">
        <f>SUM(AB3:AB102)</f>
        <v>37</v>
      </c>
      <c r="AC103" s="119">
        <f>SUM(AC3:AC102)</f>
        <v>62</v>
      </c>
      <c r="AD103" s="119">
        <f>F103-AC103</f>
        <v>38</v>
      </c>
      <c r="AE103" s="180"/>
      <c r="AF103" s="262"/>
      <c r="AG103" s="17"/>
      <c r="AH103" s="17"/>
      <c r="AI103" s="17"/>
      <c r="AJ103" s="17"/>
      <c r="AK103" s="17"/>
      <c r="AL103" s="17"/>
      <c r="AM103" s="17"/>
      <c r="AN103" s="17"/>
      <c r="AO103" s="17"/>
      <c r="AP103" s="17"/>
      <c r="AQ103" s="17"/>
      <c r="AR103" s="17"/>
      <c r="AS103" s="17"/>
      <c r="AT103" s="17"/>
      <c r="AU103" s="17"/>
      <c r="AV103" s="17"/>
      <c r="AW103" s="17"/>
      <c r="AX103" s="17"/>
      <c r="AY103" s="17"/>
    </row>
    <row r="104" ht="17" customHeight="1">
      <c r="A104" s="17"/>
      <c r="B104" s="17"/>
      <c r="C104" s="17"/>
      <c r="D104" s="180"/>
      <c r="E104" s="17"/>
      <c r="F104" s="17"/>
      <c r="G104" s="29">
        <f>F103-G103-H103-I103-J103</f>
        <v>0</v>
      </c>
      <c r="H104" s="17"/>
      <c r="I104" s="17"/>
      <c r="J104" s="17"/>
      <c r="K104" s="29">
        <f>F103-K103-L103-M103-N103-O103-P103</f>
        <v>0</v>
      </c>
      <c r="L104" s="17"/>
      <c r="M104" s="17"/>
      <c r="N104" s="17"/>
      <c r="O104" s="17"/>
      <c r="P104" s="17"/>
      <c r="Q104" s="17"/>
      <c r="R104" s="78">
        <f>F103-R103-S103-T103-J103-I103</f>
        <v>0</v>
      </c>
      <c r="S104" s="17"/>
      <c r="T104" s="17"/>
      <c r="U104" s="17"/>
      <c r="V104" s="17"/>
      <c r="W104" s="17"/>
      <c r="X104" s="17"/>
      <c r="Y104" s="17"/>
      <c r="Z104" s="17"/>
      <c r="AA104" s="17"/>
      <c r="AB104" s="17"/>
      <c r="AC104" s="17"/>
      <c r="AD104" s="17"/>
      <c r="AE104" s="17"/>
      <c r="AF104" s="8"/>
      <c r="AG104" s="17"/>
      <c r="AH104" s="17"/>
      <c r="AI104" s="17"/>
      <c r="AJ104" s="17"/>
      <c r="AK104" s="17"/>
      <c r="AL104" s="17"/>
      <c r="AM104" s="17"/>
      <c r="AN104" s="17"/>
      <c r="AO104" s="17"/>
      <c r="AP104" s="17"/>
      <c r="AQ104" s="17"/>
      <c r="AR104" s="17"/>
      <c r="AS104" s="17"/>
      <c r="AT104" s="17"/>
      <c r="AU104" s="17"/>
      <c r="AV104" s="17"/>
      <c r="AW104" s="17"/>
      <c r="AX104" s="17"/>
      <c r="AY104"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BQ30"/>
  <sheetViews>
    <sheetView workbookViewId="0" showGridLines="0" defaultGridColor="1"/>
  </sheetViews>
  <sheetFormatPr defaultColWidth="10.8333" defaultRowHeight="16" customHeight="1" outlineLevelRow="0" outlineLevelCol="0"/>
  <cols>
    <col min="1" max="1" width="10.8516" style="318" customWidth="1"/>
    <col min="2" max="2" width="7.17188" style="318" customWidth="1"/>
    <col min="3" max="3" width="10.8516" style="318" customWidth="1"/>
    <col min="4" max="4" width="13.5" style="318" customWidth="1"/>
    <col min="5" max="6" width="10.8516" style="318" customWidth="1"/>
    <col min="7" max="7" width="9.35156" style="318" customWidth="1"/>
    <col min="8" max="8" width="6.5" style="318" customWidth="1"/>
    <col min="9" max="9" width="6" style="318" customWidth="1"/>
    <col min="10" max="10" width="6.5" style="318" customWidth="1"/>
    <col min="11" max="11" width="11.8516" style="318" customWidth="1"/>
    <col min="12" max="12" width="7.17188" style="318" customWidth="1"/>
    <col min="13" max="13" width="10.8516" style="318" customWidth="1"/>
    <col min="14" max="14" width="6.35156" style="318" customWidth="1"/>
    <col min="15" max="15" width="7.5" style="318" customWidth="1"/>
    <col min="16" max="16" width="8.35156" style="318" customWidth="1"/>
    <col min="17" max="17" width="6.67188" style="318" customWidth="1"/>
    <col min="18" max="18" width="14.3516" style="318" customWidth="1"/>
    <col min="19" max="19" width="5.85156" style="318" customWidth="1"/>
    <col min="20" max="20" width="5.35156" style="318" customWidth="1"/>
    <col min="21" max="21" width="11.8516" style="318" customWidth="1"/>
    <col min="22" max="23" width="10.8516" style="318" customWidth="1"/>
    <col min="24" max="24" width="12.3516" style="318" customWidth="1"/>
    <col min="25" max="25" width="17" style="318" customWidth="1"/>
    <col min="26" max="26" width="12.1719" style="318" customWidth="1"/>
    <col min="27" max="27" width="10.8516" style="318" customWidth="1"/>
    <col min="28" max="28" width="8" style="318" customWidth="1"/>
    <col min="29" max="29" width="15.6719" style="318" customWidth="1"/>
    <col min="30" max="31" width="10.8516" style="318" customWidth="1"/>
    <col min="32" max="32" width="6.67188" style="318" customWidth="1"/>
    <col min="33" max="33" width="7.17188" style="318" customWidth="1"/>
    <col min="34" max="35" width="11" style="318" customWidth="1"/>
    <col min="36" max="36" width="10.3516" style="318" customWidth="1"/>
    <col min="37" max="37" width="6.67188" style="318" customWidth="1"/>
    <col min="38" max="40" width="7.85156" style="318" customWidth="1"/>
    <col min="41" max="42" width="9.35156" style="318" customWidth="1"/>
    <col min="43" max="43" width="12.1719" style="318" customWidth="1"/>
    <col min="44" max="44" width="7.85156" style="318" customWidth="1"/>
    <col min="45" max="47" width="10.8516" style="318" customWidth="1"/>
    <col min="48" max="48" width="12.3516" style="318" customWidth="1"/>
    <col min="49" max="51" width="10.8516" style="318" customWidth="1"/>
    <col min="52" max="52" width="12" style="318" customWidth="1"/>
    <col min="53" max="54" width="10.8516" style="318" customWidth="1"/>
    <col min="55" max="55" width="11.8516" style="318" customWidth="1"/>
    <col min="56" max="69" width="10.8516" style="318" customWidth="1"/>
    <col min="70" max="16384" width="10.8516" style="318" customWidth="1"/>
  </cols>
  <sheetData>
    <row r="1" ht="85" customHeight="1">
      <c r="A1" t="s" s="167">
        <v>1910</v>
      </c>
      <c r="B1" t="s" s="167">
        <v>1911</v>
      </c>
      <c r="C1" t="s" s="167">
        <v>8</v>
      </c>
      <c r="D1" t="s" s="176">
        <v>9</v>
      </c>
      <c r="E1" t="s" s="176">
        <v>10</v>
      </c>
      <c r="F1" t="s" s="176">
        <v>1912</v>
      </c>
      <c r="G1" t="s" s="176">
        <v>12</v>
      </c>
      <c r="H1" s="105"/>
      <c r="I1" s="105"/>
      <c r="J1" s="105"/>
      <c r="K1" t="s" s="176">
        <v>13</v>
      </c>
      <c r="L1" s="105"/>
      <c r="M1" s="98"/>
      <c r="N1" s="98"/>
      <c r="O1" s="98"/>
      <c r="P1" s="98"/>
      <c r="Q1" t="s" s="176">
        <v>14</v>
      </c>
      <c r="R1" t="s" s="176">
        <v>15</v>
      </c>
      <c r="S1" s="98"/>
      <c r="T1" s="98"/>
      <c r="U1" t="s" s="176">
        <v>1913</v>
      </c>
      <c r="V1" t="s" s="176">
        <v>1914</v>
      </c>
      <c r="W1" t="s" s="176">
        <v>1915</v>
      </c>
      <c r="X1" t="s" s="176">
        <v>19</v>
      </c>
      <c r="Y1" t="s" s="176">
        <v>20</v>
      </c>
      <c r="Z1" t="s" s="176">
        <v>108</v>
      </c>
      <c r="AA1" t="s" s="176">
        <v>22</v>
      </c>
      <c r="AB1" s="98"/>
      <c r="AC1" t="s" s="176">
        <v>1916</v>
      </c>
      <c r="AD1" s="98"/>
      <c r="AE1" s="98"/>
      <c r="AF1" s="319"/>
      <c r="AG1" s="15"/>
      <c r="AH1" s="15"/>
      <c r="AI1" s="15"/>
      <c r="AJ1" s="36"/>
      <c r="AK1" s="36"/>
      <c r="AL1" s="15"/>
      <c r="AM1" s="15"/>
      <c r="AN1" s="17"/>
      <c r="AO1" s="15"/>
      <c r="AP1" s="15"/>
      <c r="AQ1" s="15"/>
      <c r="AR1" s="17"/>
      <c r="AS1" s="36"/>
      <c r="AT1" s="36"/>
      <c r="AU1" s="36"/>
      <c r="AV1" s="36"/>
      <c r="AW1" s="36"/>
      <c r="AX1" s="36"/>
      <c r="AY1" s="36"/>
      <c r="AZ1" s="15"/>
      <c r="BA1" s="17"/>
      <c r="BB1" s="17"/>
      <c r="BC1" s="17"/>
      <c r="BD1" s="17"/>
      <c r="BE1" s="17"/>
      <c r="BF1" s="15"/>
      <c r="BG1" s="15"/>
      <c r="BH1" s="15"/>
      <c r="BI1" s="15"/>
      <c r="BJ1" s="15"/>
      <c r="BK1" s="15"/>
      <c r="BL1" s="36"/>
      <c r="BM1" s="36"/>
      <c r="BN1" s="36"/>
      <c r="BO1" s="36"/>
      <c r="BP1" s="36"/>
      <c r="BQ1" s="17"/>
    </row>
    <row r="2" ht="34" customHeight="1">
      <c r="A2" s="105"/>
      <c r="B2" s="320"/>
      <c r="C2" s="105"/>
      <c r="D2" s="105"/>
      <c r="E2" s="105"/>
      <c r="F2" s="105"/>
      <c r="G2" t="s" s="176">
        <v>24</v>
      </c>
      <c r="H2" t="s" s="176">
        <v>25</v>
      </c>
      <c r="I2" t="s" s="176">
        <v>26</v>
      </c>
      <c r="J2" t="s" s="176">
        <v>27</v>
      </c>
      <c r="K2" t="s" s="176">
        <v>1917</v>
      </c>
      <c r="L2" t="s" s="176">
        <v>29</v>
      </c>
      <c r="M2" t="s" s="176">
        <v>30</v>
      </c>
      <c r="N2" t="s" s="176">
        <v>31</v>
      </c>
      <c r="O2" t="s" s="176">
        <v>32</v>
      </c>
      <c r="P2" t="s" s="176">
        <v>33</v>
      </c>
      <c r="Q2" s="98"/>
      <c r="R2" t="s" s="176">
        <v>25</v>
      </c>
      <c r="S2" t="s" s="176">
        <v>34</v>
      </c>
      <c r="T2" t="s" s="176">
        <v>24</v>
      </c>
      <c r="U2" s="98"/>
      <c r="V2" s="98"/>
      <c r="W2" s="321"/>
      <c r="X2" t="s" s="176">
        <v>1918</v>
      </c>
      <c r="Y2" t="s" s="176">
        <v>1918</v>
      </c>
      <c r="Z2" s="98"/>
      <c r="AA2" t="s" s="176">
        <v>35</v>
      </c>
      <c r="AB2" t="s" s="176">
        <v>36</v>
      </c>
      <c r="AC2" t="s" s="322">
        <v>37</v>
      </c>
      <c r="AD2" t="s" s="167">
        <v>32</v>
      </c>
      <c r="AE2" t="s" s="323">
        <v>1919</v>
      </c>
      <c r="AF2" s="324"/>
      <c r="AG2" s="17"/>
      <c r="AH2" s="17"/>
      <c r="AI2" s="17"/>
      <c r="AJ2" s="290"/>
      <c r="AK2" s="290"/>
      <c r="AL2" s="290"/>
      <c r="AM2" s="290"/>
      <c r="AN2" s="290"/>
      <c r="AO2" s="290"/>
      <c r="AP2" s="290"/>
      <c r="AQ2" s="290"/>
      <c r="AR2" s="290"/>
      <c r="AS2" s="290"/>
      <c r="AT2" s="290"/>
      <c r="AU2" s="290"/>
      <c r="AV2" s="290"/>
      <c r="AW2" s="290"/>
      <c r="AX2" s="290"/>
      <c r="AY2" s="290"/>
      <c r="AZ2" s="290"/>
      <c r="BA2" s="290"/>
      <c r="BB2" s="290"/>
      <c r="BC2" s="15"/>
      <c r="BD2" s="15"/>
      <c r="BE2" s="15"/>
      <c r="BF2" s="15"/>
      <c r="BG2" s="15"/>
      <c r="BH2" s="15"/>
      <c r="BI2" s="36"/>
      <c r="BJ2" s="36"/>
      <c r="BK2" s="36"/>
      <c r="BL2" s="36"/>
      <c r="BM2" s="36"/>
      <c r="BN2" s="17"/>
      <c r="BO2" s="17"/>
      <c r="BP2" s="17"/>
      <c r="BQ2" s="17"/>
    </row>
    <row r="3" ht="17.45" customHeight="1">
      <c r="A3" t="s" s="167">
        <v>4</v>
      </c>
      <c r="B3" s="108">
        <f>'BL'!C21</f>
        <v>4</v>
      </c>
      <c r="C3" s="105"/>
      <c r="D3" t="s" s="167">
        <v>39</v>
      </c>
      <c r="E3" s="108">
        <f>'BL'!E21</f>
        <v>6</v>
      </c>
      <c r="F3" s="108">
        <f>'BL'!F21</f>
        <v>18</v>
      </c>
      <c r="G3" s="108">
        <v>9</v>
      </c>
      <c r="H3" s="108">
        <v>7</v>
      </c>
      <c r="I3" s="108">
        <v>2</v>
      </c>
      <c r="J3" s="108">
        <v>0</v>
      </c>
      <c r="K3" s="108">
        <v>4</v>
      </c>
      <c r="L3" s="108">
        <v>3</v>
      </c>
      <c r="M3" s="108">
        <v>6</v>
      </c>
      <c r="N3" s="108">
        <v>2</v>
      </c>
      <c r="O3" s="108">
        <v>3</v>
      </c>
      <c r="P3" s="108">
        <v>0</v>
      </c>
      <c r="Q3" s="108">
        <v>669</v>
      </c>
      <c r="R3" s="108">
        <v>8</v>
      </c>
      <c r="S3" s="108">
        <v>7</v>
      </c>
      <c r="T3" s="108">
        <v>1</v>
      </c>
      <c r="U3" s="108">
        <v>96</v>
      </c>
      <c r="V3" s="108">
        <v>12</v>
      </c>
      <c r="W3" s="108">
        <v>11</v>
      </c>
      <c r="X3" s="105"/>
      <c r="Y3" s="254"/>
      <c r="Z3" s="255">
        <f>AA3+AB3</f>
        <v>12</v>
      </c>
      <c r="AA3" s="108">
        <v>0</v>
      </c>
      <c r="AB3" s="108">
        <v>12</v>
      </c>
      <c r="AC3" s="108">
        <v>15</v>
      </c>
      <c r="AD3" s="108">
        <v>3</v>
      </c>
      <c r="AE3" s="108">
        <f>AC3+AD3</f>
        <v>18</v>
      </c>
      <c r="AF3" s="115"/>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row>
    <row r="4" ht="17" customHeight="1">
      <c r="A4" t="s" s="276">
        <v>104</v>
      </c>
      <c r="B4" s="255">
        <f>'PC'!B66</f>
        <v>13</v>
      </c>
      <c r="C4" s="254"/>
      <c r="D4" t="s" s="277">
        <v>1920</v>
      </c>
      <c r="E4" s="108">
        <f>'PC'!E66</f>
        <v>42</v>
      </c>
      <c r="F4" s="108">
        <f>'PC'!G67</f>
        <v>62</v>
      </c>
      <c r="G4" s="108">
        <v>49</v>
      </c>
      <c r="H4" s="108">
        <v>11</v>
      </c>
      <c r="I4" s="108">
        <v>2</v>
      </c>
      <c r="J4" s="108">
        <v>0</v>
      </c>
      <c r="K4" s="108">
        <v>13</v>
      </c>
      <c r="L4" s="108">
        <v>5</v>
      </c>
      <c r="M4" s="108">
        <v>10</v>
      </c>
      <c r="N4" s="108">
        <v>2</v>
      </c>
      <c r="O4" s="108">
        <v>6</v>
      </c>
      <c r="P4" s="108">
        <v>27</v>
      </c>
      <c r="Q4" s="108">
        <v>2532</v>
      </c>
      <c r="R4" s="108">
        <v>11</v>
      </c>
      <c r="S4" s="108">
        <v>37</v>
      </c>
      <c r="T4" s="108">
        <v>12</v>
      </c>
      <c r="U4" s="108">
        <v>216</v>
      </c>
      <c r="V4" s="108">
        <v>29</v>
      </c>
      <c r="W4" s="108">
        <v>25</v>
      </c>
      <c r="X4" s="105"/>
      <c r="Y4" s="105"/>
      <c r="Z4" s="255">
        <f>AA4+AB4</f>
        <v>36</v>
      </c>
      <c r="AA4" s="108">
        <v>8</v>
      </c>
      <c r="AB4" s="108">
        <v>28</v>
      </c>
      <c r="AC4" s="108">
        <v>29</v>
      </c>
      <c r="AD4" s="108">
        <v>33</v>
      </c>
      <c r="AE4" s="108">
        <f>AC4+AD4</f>
        <v>62</v>
      </c>
      <c r="AF4" s="115"/>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row>
    <row r="5" ht="17" customHeight="1">
      <c r="A5" t="s" s="276">
        <v>1921</v>
      </c>
      <c r="B5" s="255">
        <v>4</v>
      </c>
      <c r="C5" s="254"/>
      <c r="D5" t="s" s="277">
        <v>1922</v>
      </c>
      <c r="E5" s="108">
        <f>'WesternTerrace'!E31</f>
        <v>17</v>
      </c>
      <c r="F5" s="108">
        <f>'WesternTerrace'!F31</f>
        <v>28</v>
      </c>
      <c r="G5" s="108">
        <v>19</v>
      </c>
      <c r="H5" s="108">
        <v>9</v>
      </c>
      <c r="I5" s="108">
        <v>0</v>
      </c>
      <c r="J5" s="108">
        <v>0</v>
      </c>
      <c r="K5" s="108">
        <v>4</v>
      </c>
      <c r="L5" s="108">
        <v>2</v>
      </c>
      <c r="M5" s="108">
        <v>3</v>
      </c>
      <c r="N5" s="108">
        <v>5</v>
      </c>
      <c r="O5" s="108">
        <v>1</v>
      </c>
      <c r="P5" s="108">
        <v>13</v>
      </c>
      <c r="Q5" s="108">
        <v>1032</v>
      </c>
      <c r="R5" s="108">
        <v>4</v>
      </c>
      <c r="S5" s="108">
        <v>23</v>
      </c>
      <c r="T5" s="108">
        <v>1</v>
      </c>
      <c r="U5" s="108">
        <v>71</v>
      </c>
      <c r="V5" s="108">
        <v>6</v>
      </c>
      <c r="W5" s="108">
        <v>5</v>
      </c>
      <c r="X5" s="105"/>
      <c r="Y5" s="105"/>
      <c r="Z5" s="255">
        <v>0</v>
      </c>
      <c r="AA5" s="108">
        <v>6</v>
      </c>
      <c r="AB5" s="108">
        <v>17</v>
      </c>
      <c r="AC5" s="108">
        <v>19</v>
      </c>
      <c r="AD5" s="108">
        <v>9</v>
      </c>
      <c r="AE5" s="108">
        <f>AC5+AD5</f>
        <v>28</v>
      </c>
      <c r="AF5" s="115"/>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row>
    <row r="6" ht="17" customHeight="1">
      <c r="A6" t="s" s="276">
        <v>1923</v>
      </c>
      <c r="B6" s="255">
        <v>2</v>
      </c>
      <c r="C6" s="254"/>
      <c r="D6" t="s" s="277">
        <v>357</v>
      </c>
      <c r="E6" s="108">
        <f>'North Rd'!E13</f>
        <v>5</v>
      </c>
      <c r="F6" s="108">
        <f>'North Rd'!F13</f>
        <v>10</v>
      </c>
      <c r="G6" s="108">
        <v>5</v>
      </c>
      <c r="H6" s="108">
        <v>5</v>
      </c>
      <c r="I6" s="108">
        <v>0</v>
      </c>
      <c r="J6" s="108">
        <v>0</v>
      </c>
      <c r="K6" s="108">
        <v>2</v>
      </c>
      <c r="L6" s="108">
        <v>2</v>
      </c>
      <c r="M6" s="108">
        <v>0</v>
      </c>
      <c r="N6" s="108">
        <v>2</v>
      </c>
      <c r="O6" s="108">
        <v>1</v>
      </c>
      <c r="P6" s="108">
        <v>3</v>
      </c>
      <c r="Q6" s="108">
        <v>312</v>
      </c>
      <c r="R6" s="108">
        <v>4</v>
      </c>
      <c r="S6" s="108">
        <v>4</v>
      </c>
      <c r="T6" s="108">
        <v>0</v>
      </c>
      <c r="U6" s="108">
        <v>15</v>
      </c>
      <c r="V6" s="108">
        <v>2</v>
      </c>
      <c r="W6" s="108">
        <v>2</v>
      </c>
      <c r="X6" s="108">
        <v>0</v>
      </c>
      <c r="Y6" s="108">
        <v>0</v>
      </c>
      <c r="Z6" s="255">
        <f>AA6+AB6</f>
        <v>6</v>
      </c>
      <c r="AA6" s="108">
        <v>2</v>
      </c>
      <c r="AB6" s="108">
        <v>4</v>
      </c>
      <c r="AC6" s="108">
        <v>7</v>
      </c>
      <c r="AD6" s="108">
        <v>3</v>
      </c>
      <c r="AE6" s="108">
        <f>AC6+AD6</f>
        <v>10</v>
      </c>
      <c r="AF6" s="325"/>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row>
    <row r="7" ht="17" customHeight="1">
      <c r="A7" t="s" s="276">
        <v>1924</v>
      </c>
      <c r="B7" s="255">
        <v>2</v>
      </c>
      <c r="C7" s="254"/>
      <c r="D7" t="s" s="277">
        <v>396</v>
      </c>
      <c r="E7" s="108">
        <f>'Lincoln Circus'!E13</f>
        <v>4</v>
      </c>
      <c r="F7" s="108">
        <f>'Lincoln Circus'!F13</f>
        <v>10</v>
      </c>
      <c r="G7" s="108">
        <v>5</v>
      </c>
      <c r="H7" s="108">
        <v>5</v>
      </c>
      <c r="I7" s="108">
        <v>0</v>
      </c>
      <c r="J7" s="108">
        <v>0</v>
      </c>
      <c r="K7" s="108">
        <v>1</v>
      </c>
      <c r="L7" s="108">
        <v>1</v>
      </c>
      <c r="M7" s="108">
        <v>1</v>
      </c>
      <c r="N7" s="108">
        <v>4</v>
      </c>
      <c r="O7" s="108">
        <v>0</v>
      </c>
      <c r="P7" s="108">
        <v>3</v>
      </c>
      <c r="Q7" s="108">
        <v>301</v>
      </c>
      <c r="R7" s="108">
        <v>2</v>
      </c>
      <c r="S7" s="108">
        <v>8</v>
      </c>
      <c r="T7" s="108">
        <v>0</v>
      </c>
      <c r="U7" s="108">
        <v>25</v>
      </c>
      <c r="V7" s="108">
        <v>5</v>
      </c>
      <c r="W7" s="108">
        <v>5</v>
      </c>
      <c r="X7" s="108">
        <v>0</v>
      </c>
      <c r="Y7" s="108">
        <v>0</v>
      </c>
      <c r="Z7" s="255">
        <v>9</v>
      </c>
      <c r="AA7" s="108">
        <v>0</v>
      </c>
      <c r="AB7" s="108">
        <v>9</v>
      </c>
      <c r="AC7" s="108">
        <v>6</v>
      </c>
      <c r="AD7" s="108">
        <v>4</v>
      </c>
      <c r="AE7" s="108">
        <f>AC7+AD7</f>
        <v>10</v>
      </c>
      <c r="AF7" s="325"/>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row>
    <row r="8" ht="17.45" customHeight="1">
      <c r="A8" t="s" s="167">
        <v>1925</v>
      </c>
      <c r="B8" s="108">
        <f>'newcastlecircus'!B28</f>
        <v>4</v>
      </c>
      <c r="C8" s="105"/>
      <c r="D8" t="s" s="277">
        <v>1926</v>
      </c>
      <c r="E8" s="108">
        <v>22</v>
      </c>
      <c r="F8" s="108">
        <v>25</v>
      </c>
      <c r="G8" s="108">
        <v>20</v>
      </c>
      <c r="H8" s="108">
        <v>5</v>
      </c>
      <c r="I8" s="108">
        <v>0</v>
      </c>
      <c r="J8" s="108">
        <v>0</v>
      </c>
      <c r="K8" s="108">
        <v>4</v>
      </c>
      <c r="L8" s="108">
        <v>1</v>
      </c>
      <c r="M8" s="108">
        <v>0</v>
      </c>
      <c r="N8" s="108">
        <v>0</v>
      </c>
      <c r="O8" s="108">
        <v>3</v>
      </c>
      <c r="P8" s="108">
        <v>16</v>
      </c>
      <c r="Q8" s="108">
        <v>881</v>
      </c>
      <c r="R8" s="108">
        <v>4</v>
      </c>
      <c r="S8" s="108">
        <v>15</v>
      </c>
      <c r="T8" s="108">
        <v>2</v>
      </c>
      <c r="U8" s="108">
        <v>15</v>
      </c>
      <c r="V8" s="108">
        <v>1</v>
      </c>
      <c r="W8" s="108">
        <v>1</v>
      </c>
      <c r="X8" s="108">
        <v>0</v>
      </c>
      <c r="Y8" s="108">
        <v>0</v>
      </c>
      <c r="Z8" s="108">
        <v>1</v>
      </c>
      <c r="AA8" s="108">
        <v>3</v>
      </c>
      <c r="AB8" s="108">
        <v>18</v>
      </c>
      <c r="AC8" s="108">
        <v>12</v>
      </c>
      <c r="AD8" s="108">
        <v>13</v>
      </c>
      <c r="AE8" s="108">
        <f>AC8+AD8</f>
        <v>25</v>
      </c>
      <c r="AF8" s="115"/>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row>
    <row r="9" ht="17.45" customHeight="1">
      <c r="A9" t="s" s="167">
        <v>1927</v>
      </c>
      <c r="B9" s="108">
        <v>4</v>
      </c>
      <c r="C9" s="105"/>
      <c r="D9" t="s" s="277">
        <v>485</v>
      </c>
      <c r="E9" s="108">
        <v>14</v>
      </c>
      <c r="F9" s="108">
        <v>19</v>
      </c>
      <c r="G9" s="108">
        <v>13</v>
      </c>
      <c r="H9" s="108">
        <v>5</v>
      </c>
      <c r="I9" s="108">
        <v>1</v>
      </c>
      <c r="J9" s="108">
        <v>0</v>
      </c>
      <c r="K9" s="108">
        <v>4</v>
      </c>
      <c r="L9" s="108">
        <v>2</v>
      </c>
      <c r="M9" s="108">
        <v>2</v>
      </c>
      <c r="N9" s="108">
        <v>1</v>
      </c>
      <c r="O9" s="108">
        <v>0</v>
      </c>
      <c r="P9" s="108">
        <v>10</v>
      </c>
      <c r="Q9" s="108">
        <v>679</v>
      </c>
      <c r="R9" s="108">
        <v>5</v>
      </c>
      <c r="S9" s="108">
        <v>13</v>
      </c>
      <c r="T9" s="108">
        <v>1</v>
      </c>
      <c r="U9" s="108">
        <v>60</v>
      </c>
      <c r="V9" s="108">
        <v>4</v>
      </c>
      <c r="W9" s="108">
        <v>3</v>
      </c>
      <c r="X9" s="108">
        <v>0</v>
      </c>
      <c r="Y9" s="108">
        <v>0</v>
      </c>
      <c r="Z9" s="108">
        <v>14</v>
      </c>
      <c r="AA9" s="108">
        <v>4</v>
      </c>
      <c r="AB9" s="108">
        <v>10</v>
      </c>
      <c r="AC9" s="108">
        <v>8</v>
      </c>
      <c r="AD9" s="108">
        <v>11</v>
      </c>
      <c r="AE9" s="108">
        <f>AC9+AD9</f>
        <v>19</v>
      </c>
      <c r="AF9" s="115"/>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row>
    <row r="10" ht="17.45" customHeight="1">
      <c r="A10" t="s" s="167">
        <v>1928</v>
      </c>
      <c r="B10" s="255">
        <v>11</v>
      </c>
      <c r="C10" s="105"/>
      <c r="D10" t="s" s="277">
        <v>531</v>
      </c>
      <c r="E10" s="108">
        <v>25</v>
      </c>
      <c r="F10" s="108">
        <v>51</v>
      </c>
      <c r="G10" s="108">
        <v>30</v>
      </c>
      <c r="H10" s="108">
        <v>12</v>
      </c>
      <c r="I10" s="108">
        <v>5</v>
      </c>
      <c r="J10" s="108">
        <v>4</v>
      </c>
      <c r="K10" s="108">
        <v>11</v>
      </c>
      <c r="L10" s="108">
        <v>8</v>
      </c>
      <c r="M10" s="108">
        <v>8</v>
      </c>
      <c r="N10" s="108">
        <v>9</v>
      </c>
      <c r="O10" s="108">
        <v>1</v>
      </c>
      <c r="P10" s="108">
        <v>14</v>
      </c>
      <c r="Q10" s="108">
        <v>1464</v>
      </c>
      <c r="R10" s="108">
        <v>16</v>
      </c>
      <c r="S10" s="108">
        <v>23</v>
      </c>
      <c r="T10" s="108">
        <v>2</v>
      </c>
      <c r="U10" s="108">
        <v>106</v>
      </c>
      <c r="V10" s="108">
        <v>26</v>
      </c>
      <c r="W10" s="108">
        <v>22</v>
      </c>
      <c r="X10" s="108">
        <v>0</v>
      </c>
      <c r="Y10" s="108">
        <v>0</v>
      </c>
      <c r="Z10" s="108">
        <v>18</v>
      </c>
      <c r="AA10" s="108">
        <v>7</v>
      </c>
      <c r="AB10" s="108">
        <v>13</v>
      </c>
      <c r="AC10" s="108">
        <v>27</v>
      </c>
      <c r="AD10" s="108">
        <v>24</v>
      </c>
      <c r="AE10" s="108">
        <f>AC10+AD10</f>
        <v>51</v>
      </c>
      <c r="AF10" s="115"/>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row>
    <row r="11" ht="17.45" customHeight="1">
      <c r="A11" t="s" s="167">
        <v>1929</v>
      </c>
      <c r="B11" s="255">
        <v>24</v>
      </c>
      <c r="C11" s="105"/>
      <c r="D11" t="s" s="277">
        <v>1930</v>
      </c>
      <c r="E11" s="108">
        <f>'lentonave-dan'!G125</f>
        <v>59</v>
      </c>
      <c r="F11" s="108">
        <v>120</v>
      </c>
      <c r="G11" s="108">
        <v>69</v>
      </c>
      <c r="H11" s="108">
        <v>34</v>
      </c>
      <c r="I11" s="108">
        <v>9</v>
      </c>
      <c r="J11" s="108">
        <v>8</v>
      </c>
      <c r="K11" s="108">
        <v>22</v>
      </c>
      <c r="L11" s="108">
        <v>14</v>
      </c>
      <c r="M11" s="108">
        <v>28</v>
      </c>
      <c r="N11" s="108">
        <v>16</v>
      </c>
      <c r="O11" s="108">
        <v>6</v>
      </c>
      <c r="P11" s="108">
        <v>35</v>
      </c>
      <c r="Q11" s="108">
        <v>3745.5</v>
      </c>
      <c r="R11" s="108">
        <v>28</v>
      </c>
      <c r="S11" s="108">
        <v>86</v>
      </c>
      <c r="T11" s="108">
        <v>6</v>
      </c>
      <c r="U11" s="108">
        <v>287</v>
      </c>
      <c r="V11" s="105"/>
      <c r="W11" s="105"/>
      <c r="X11" s="105"/>
      <c r="Y11" s="105"/>
      <c r="Z11" s="108">
        <v>76</v>
      </c>
      <c r="AA11" s="108">
        <v>12</v>
      </c>
      <c r="AB11" s="108">
        <v>57</v>
      </c>
      <c r="AC11" s="108">
        <v>74</v>
      </c>
      <c r="AD11" s="108">
        <v>46</v>
      </c>
      <c r="AE11" s="108">
        <f>AC11+AD11</f>
        <v>120</v>
      </c>
      <c r="AF11" s="115"/>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row>
    <row r="12" ht="17.45" customHeight="1">
      <c r="A12" t="s" s="167">
        <v>1931</v>
      </c>
      <c r="B12" s="310">
        <v>17</v>
      </c>
      <c r="C12" s="105"/>
      <c r="D12" t="s" s="167">
        <v>1932</v>
      </c>
      <c r="E12" s="108">
        <v>9</v>
      </c>
      <c r="F12" s="108">
        <v>15</v>
      </c>
      <c r="G12" s="108">
        <v>11</v>
      </c>
      <c r="H12" s="108">
        <v>4</v>
      </c>
      <c r="I12" s="108">
        <v>0</v>
      </c>
      <c r="J12" s="108">
        <v>0</v>
      </c>
      <c r="K12" s="108">
        <v>3</v>
      </c>
      <c r="L12" s="108">
        <v>1</v>
      </c>
      <c r="M12" s="108">
        <v>1</v>
      </c>
      <c r="N12" s="108">
        <v>0</v>
      </c>
      <c r="O12" s="105"/>
      <c r="P12" s="108">
        <v>8</v>
      </c>
      <c r="Q12" s="108">
        <v>682</v>
      </c>
      <c r="R12" s="108">
        <v>2</v>
      </c>
      <c r="S12" s="108">
        <v>12</v>
      </c>
      <c r="T12" s="108">
        <v>1</v>
      </c>
      <c r="U12" s="108">
        <v>16</v>
      </c>
      <c r="V12" s="105"/>
      <c r="W12" s="105"/>
      <c r="X12" s="105"/>
      <c r="Y12" s="105"/>
      <c r="Z12" s="108">
        <v>12</v>
      </c>
      <c r="AA12" s="108">
        <v>4</v>
      </c>
      <c r="AB12" s="108">
        <v>8</v>
      </c>
      <c r="AC12" s="108">
        <v>8</v>
      </c>
      <c r="AD12" s="108">
        <v>7</v>
      </c>
      <c r="AE12" s="108">
        <f>AC12+AD12</f>
        <v>15</v>
      </c>
      <c r="AF12" s="115"/>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row>
    <row r="13" ht="17.45" customHeight="1">
      <c r="A13" t="s" s="167">
        <v>1933</v>
      </c>
      <c r="B13" s="310">
        <v>2</v>
      </c>
      <c r="C13" s="105"/>
      <c r="D13" t="s" s="167">
        <v>1934</v>
      </c>
      <c r="E13" s="108">
        <v>9</v>
      </c>
      <c r="F13" s="108">
        <v>15</v>
      </c>
      <c r="G13" s="108">
        <v>9</v>
      </c>
      <c r="H13" s="108">
        <v>1</v>
      </c>
      <c r="I13" s="108">
        <v>4</v>
      </c>
      <c r="J13" s="108">
        <v>1</v>
      </c>
      <c r="K13" s="108">
        <v>2</v>
      </c>
      <c r="L13" s="108">
        <v>1</v>
      </c>
      <c r="M13" s="108">
        <v>4</v>
      </c>
      <c r="N13" s="108">
        <v>1</v>
      </c>
      <c r="O13" s="108">
        <v>1</v>
      </c>
      <c r="P13" s="108">
        <v>6</v>
      </c>
      <c r="Q13" s="108">
        <v>358.4</v>
      </c>
      <c r="R13" s="108">
        <v>2</v>
      </c>
      <c r="S13" s="108">
        <v>12</v>
      </c>
      <c r="T13" s="108">
        <v>1</v>
      </c>
      <c r="U13" s="108">
        <v>0</v>
      </c>
      <c r="V13" s="105"/>
      <c r="W13" s="105"/>
      <c r="X13" s="105"/>
      <c r="Y13" s="105"/>
      <c r="Z13" s="108">
        <v>8</v>
      </c>
      <c r="AA13" s="108">
        <v>1</v>
      </c>
      <c r="AB13" s="108">
        <v>7</v>
      </c>
      <c r="AC13" s="108">
        <v>10</v>
      </c>
      <c r="AD13" s="108">
        <v>5</v>
      </c>
      <c r="AE13" s="108">
        <f>AC13+AD13</f>
        <v>15</v>
      </c>
      <c r="AF13" s="115"/>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row>
    <row r="14" ht="17.45" customHeight="1">
      <c r="A14" t="s" s="167">
        <v>1935</v>
      </c>
      <c r="B14" s="310">
        <v>4</v>
      </c>
      <c r="C14" s="105"/>
      <c r="D14" t="s" s="167">
        <v>1936</v>
      </c>
      <c r="E14" s="108">
        <v>19</v>
      </c>
      <c r="F14" s="108">
        <v>31</v>
      </c>
      <c r="G14" s="108">
        <v>24</v>
      </c>
      <c r="H14" s="108">
        <v>7</v>
      </c>
      <c r="I14" s="108">
        <v>0</v>
      </c>
      <c r="J14" s="108">
        <v>0</v>
      </c>
      <c r="K14" s="108">
        <v>4</v>
      </c>
      <c r="L14" s="108">
        <v>3</v>
      </c>
      <c r="M14" s="108">
        <v>7</v>
      </c>
      <c r="N14" s="108">
        <v>1</v>
      </c>
      <c r="O14" s="108">
        <v>3</v>
      </c>
      <c r="P14" s="108">
        <v>13</v>
      </c>
      <c r="Q14" s="108">
        <v>1225</v>
      </c>
      <c r="R14" s="326">
        <v>9</v>
      </c>
      <c r="S14" s="327">
        <v>21</v>
      </c>
      <c r="T14" s="108">
        <v>1</v>
      </c>
      <c r="U14" s="108">
        <v>135</v>
      </c>
      <c r="V14" s="105"/>
      <c r="W14" s="105"/>
      <c r="X14" s="105"/>
      <c r="Y14" s="105"/>
      <c r="Z14" s="108">
        <v>17</v>
      </c>
      <c r="AA14" s="108">
        <v>4</v>
      </c>
      <c r="AB14" s="108">
        <v>13</v>
      </c>
      <c r="AC14" s="108">
        <v>16</v>
      </c>
      <c r="AD14" s="108">
        <v>15</v>
      </c>
      <c r="AE14" s="108">
        <f>AC14+AD14</f>
        <v>31</v>
      </c>
      <c r="AF14" s="115"/>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row>
    <row r="15" ht="17.45" customHeight="1">
      <c r="A15" t="s" s="167">
        <v>1937</v>
      </c>
      <c r="B15" s="310">
        <v>8</v>
      </c>
      <c r="C15" s="105"/>
      <c r="D15" t="s" s="167">
        <v>1938</v>
      </c>
      <c r="E15" s="108">
        <v>38</v>
      </c>
      <c r="F15" s="108">
        <v>54</v>
      </c>
      <c r="G15" s="108">
        <v>33</v>
      </c>
      <c r="H15" s="108">
        <v>12</v>
      </c>
      <c r="I15" s="108">
        <v>6</v>
      </c>
      <c r="J15" s="108">
        <v>3</v>
      </c>
      <c r="K15" s="108">
        <v>6</v>
      </c>
      <c r="L15" s="108">
        <v>5</v>
      </c>
      <c r="M15" s="108">
        <v>5</v>
      </c>
      <c r="N15" s="108">
        <v>6</v>
      </c>
      <c r="O15" s="108">
        <v>2</v>
      </c>
      <c r="P15" s="108">
        <v>30</v>
      </c>
      <c r="Q15" s="108">
        <v>1529</v>
      </c>
      <c r="R15" s="108">
        <v>10</v>
      </c>
      <c r="S15" s="108">
        <v>35</v>
      </c>
      <c r="T15" s="108">
        <v>2</v>
      </c>
      <c r="U15" s="108">
        <v>41</v>
      </c>
      <c r="V15" s="108">
        <v>8</v>
      </c>
      <c r="W15" s="108">
        <v>8</v>
      </c>
      <c r="X15" s="108">
        <v>0</v>
      </c>
      <c r="Y15" s="108">
        <v>0</v>
      </c>
      <c r="Z15" s="108">
        <v>41</v>
      </c>
      <c r="AA15" s="108">
        <v>7</v>
      </c>
      <c r="AB15" s="108">
        <v>5</v>
      </c>
      <c r="AC15" s="108">
        <v>27</v>
      </c>
      <c r="AD15" s="328">
        <v>27</v>
      </c>
      <c r="AE15" s="108">
        <f>AC15+AD15</f>
        <v>54</v>
      </c>
      <c r="AF15" s="115"/>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row>
    <row r="16" ht="17.45" customHeight="1">
      <c r="A16" t="s" s="167">
        <v>1939</v>
      </c>
      <c r="B16" s="310">
        <v>6</v>
      </c>
      <c r="C16" s="105"/>
      <c r="D16" t="s" s="167">
        <v>1189</v>
      </c>
      <c r="E16" s="108">
        <v>23</v>
      </c>
      <c r="F16" s="108">
        <v>35</v>
      </c>
      <c r="G16" s="108">
        <v>25</v>
      </c>
      <c r="H16" s="108">
        <v>10</v>
      </c>
      <c r="I16" s="108">
        <v>0</v>
      </c>
      <c r="J16" s="108">
        <v>0</v>
      </c>
      <c r="K16" s="108">
        <v>5</v>
      </c>
      <c r="L16" s="108">
        <v>4</v>
      </c>
      <c r="M16" s="108">
        <v>5</v>
      </c>
      <c r="N16" s="108">
        <v>5</v>
      </c>
      <c r="O16" s="108">
        <v>1</v>
      </c>
      <c r="P16" s="108">
        <v>16</v>
      </c>
      <c r="Q16" s="108">
        <v>1416</v>
      </c>
      <c r="R16" s="108">
        <v>7</v>
      </c>
      <c r="S16" s="108">
        <v>21</v>
      </c>
      <c r="T16" s="108">
        <v>3</v>
      </c>
      <c r="U16" s="108">
        <v>129</v>
      </c>
      <c r="V16" s="108">
        <v>8</v>
      </c>
      <c r="W16" s="108">
        <v>8</v>
      </c>
      <c r="X16" s="108">
        <v>0</v>
      </c>
      <c r="Y16" s="108">
        <v>0</v>
      </c>
      <c r="Z16" s="108">
        <v>24</v>
      </c>
      <c r="AA16" s="108">
        <v>4</v>
      </c>
      <c r="AB16" s="108">
        <v>3</v>
      </c>
      <c r="AC16" s="108">
        <v>11</v>
      </c>
      <c r="AD16" s="329">
        <v>24</v>
      </c>
      <c r="AE16" s="108">
        <f>AC16+AD16</f>
        <v>35</v>
      </c>
      <c r="AF16" s="115"/>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row>
    <row r="17" ht="17.45" customHeight="1">
      <c r="A17" t="s" s="167">
        <v>1940</v>
      </c>
      <c r="B17" s="310">
        <v>11</v>
      </c>
      <c r="C17" s="105"/>
      <c r="D17" t="s" s="167">
        <v>1941</v>
      </c>
      <c r="E17" s="108">
        <v>36</v>
      </c>
      <c r="F17" s="108">
        <v>55</v>
      </c>
      <c r="G17" s="108">
        <v>44</v>
      </c>
      <c r="H17" s="108">
        <v>9</v>
      </c>
      <c r="I17" s="108">
        <v>2</v>
      </c>
      <c r="J17" s="108">
        <v>0</v>
      </c>
      <c r="K17" s="108">
        <v>9</v>
      </c>
      <c r="L17" s="108">
        <v>4</v>
      </c>
      <c r="M17" s="108">
        <v>5</v>
      </c>
      <c r="N17" s="108">
        <v>3</v>
      </c>
      <c r="O17" s="108">
        <v>11</v>
      </c>
      <c r="P17" s="108">
        <v>23</v>
      </c>
      <c r="Q17" s="108">
        <v>2047</v>
      </c>
      <c r="R17" s="108">
        <v>8</v>
      </c>
      <c r="S17" s="108">
        <v>38</v>
      </c>
      <c r="T17" s="108">
        <v>1</v>
      </c>
      <c r="U17" s="108">
        <v>77</v>
      </c>
      <c r="V17" s="108">
        <v>21</v>
      </c>
      <c r="W17" s="108">
        <v>19</v>
      </c>
      <c r="X17" s="108">
        <v>0</v>
      </c>
      <c r="Y17" s="108">
        <v>0</v>
      </c>
      <c r="Z17" s="108">
        <v>26</v>
      </c>
      <c r="AA17" s="108">
        <v>5</v>
      </c>
      <c r="AB17" s="108">
        <v>4</v>
      </c>
      <c r="AC17" s="108">
        <v>28</v>
      </c>
      <c r="AD17" s="329">
        <v>27</v>
      </c>
      <c r="AE17" s="108">
        <f>AC17+AD17</f>
        <v>55</v>
      </c>
      <c r="AF17" s="115"/>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row>
    <row r="18" ht="17.45" customHeight="1">
      <c r="A18" t="s" s="167">
        <v>1942</v>
      </c>
      <c r="B18" s="310">
        <v>3</v>
      </c>
      <c r="C18" s="105"/>
      <c r="D18" t="s" s="167">
        <v>1358</v>
      </c>
      <c r="E18" s="108">
        <v>9</v>
      </c>
      <c r="F18" s="108">
        <v>14</v>
      </c>
      <c r="G18" s="108">
        <v>10</v>
      </c>
      <c r="H18" s="108">
        <v>2</v>
      </c>
      <c r="I18" s="108">
        <v>1</v>
      </c>
      <c r="J18" s="108">
        <v>1</v>
      </c>
      <c r="K18" s="108">
        <v>3</v>
      </c>
      <c r="L18" s="108">
        <v>1</v>
      </c>
      <c r="M18" s="108">
        <v>2</v>
      </c>
      <c r="N18" s="108">
        <v>0</v>
      </c>
      <c r="O18" s="108">
        <v>3</v>
      </c>
      <c r="P18" s="108">
        <v>5</v>
      </c>
      <c r="Q18" s="108">
        <v>390</v>
      </c>
      <c r="R18" s="108">
        <v>3</v>
      </c>
      <c r="S18" s="108">
        <v>9</v>
      </c>
      <c r="T18" s="108">
        <v>2</v>
      </c>
      <c r="U18" s="108">
        <v>3</v>
      </c>
      <c r="V18" s="108">
        <v>2</v>
      </c>
      <c r="W18" s="108">
        <v>2</v>
      </c>
      <c r="X18" s="105"/>
      <c r="Y18" s="108">
        <v>0</v>
      </c>
      <c r="Z18" s="108">
        <v>8</v>
      </c>
      <c r="AA18" s="108">
        <v>2</v>
      </c>
      <c r="AB18" s="108">
        <v>0</v>
      </c>
      <c r="AC18" s="108">
        <v>6</v>
      </c>
      <c r="AD18" s="330">
        <v>8</v>
      </c>
      <c r="AE18" s="108">
        <f>AC18+AD18</f>
        <v>14</v>
      </c>
      <c r="AF18" s="115"/>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row>
    <row r="19" ht="17" customHeight="1">
      <c r="A19" t="s" s="167">
        <v>1943</v>
      </c>
      <c r="B19" s="108">
        <v>24</v>
      </c>
      <c r="C19" s="105"/>
      <c r="D19" t="s" s="167">
        <v>1394</v>
      </c>
      <c r="E19" s="108">
        <v>80</v>
      </c>
      <c r="F19" s="108">
        <v>130</v>
      </c>
      <c r="G19" s="108">
        <v>92</v>
      </c>
      <c r="H19" s="108">
        <v>27</v>
      </c>
      <c r="I19" s="108">
        <v>5</v>
      </c>
      <c r="J19" s="108">
        <v>6</v>
      </c>
      <c r="K19" s="108">
        <v>22</v>
      </c>
      <c r="L19" s="108">
        <v>14</v>
      </c>
      <c r="M19" s="108">
        <v>22</v>
      </c>
      <c r="N19" s="108">
        <v>13</v>
      </c>
      <c r="O19" s="108">
        <v>6</v>
      </c>
      <c r="P19" s="108">
        <v>53</v>
      </c>
      <c r="Q19" s="108">
        <v>4730</v>
      </c>
      <c r="R19" s="108">
        <v>28</v>
      </c>
      <c r="S19" s="108">
        <v>87</v>
      </c>
      <c r="T19" s="108">
        <v>4</v>
      </c>
      <c r="U19" s="108">
        <v>403</v>
      </c>
      <c r="V19" s="108">
        <v>53</v>
      </c>
      <c r="W19" s="108">
        <v>45</v>
      </c>
      <c r="X19" s="108">
        <v>0</v>
      </c>
      <c r="Y19" s="108">
        <v>0</v>
      </c>
      <c r="Z19" s="108">
        <v>74</v>
      </c>
      <c r="AA19" s="108">
        <v>18</v>
      </c>
      <c r="AB19" s="108">
        <v>14</v>
      </c>
      <c r="AC19" s="108">
        <v>66</v>
      </c>
      <c r="AD19" s="108">
        <v>64</v>
      </c>
      <c r="AE19" s="108">
        <f>AC19+AD19</f>
        <v>130</v>
      </c>
      <c r="AF19" s="115"/>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row>
    <row r="20" ht="17" customHeight="1">
      <c r="A20" t="s" s="167">
        <v>1944</v>
      </c>
      <c r="B20" s="108">
        <v>1</v>
      </c>
      <c r="C20" s="105"/>
      <c r="D20" t="s" s="167">
        <v>1640</v>
      </c>
      <c r="E20" s="108">
        <v>2</v>
      </c>
      <c r="F20" s="108">
        <v>3</v>
      </c>
      <c r="G20" s="108">
        <v>2</v>
      </c>
      <c r="H20" s="108">
        <v>1</v>
      </c>
      <c r="I20" s="108">
        <v>0</v>
      </c>
      <c r="J20" s="108">
        <v>0</v>
      </c>
      <c r="K20" s="108">
        <v>0</v>
      </c>
      <c r="L20" s="108">
        <v>0</v>
      </c>
      <c r="M20" s="108">
        <v>1</v>
      </c>
      <c r="N20" s="108">
        <v>0</v>
      </c>
      <c r="O20" s="108">
        <v>0</v>
      </c>
      <c r="P20" s="108">
        <v>2</v>
      </c>
      <c r="Q20" s="108">
        <v>158</v>
      </c>
      <c r="R20" s="108">
        <v>2</v>
      </c>
      <c r="S20" s="108">
        <v>1</v>
      </c>
      <c r="T20" s="108">
        <v>0</v>
      </c>
      <c r="U20" s="108">
        <v>15</v>
      </c>
      <c r="V20" s="108">
        <v>0</v>
      </c>
      <c r="W20" s="108">
        <v>0</v>
      </c>
      <c r="X20" s="108">
        <v>0</v>
      </c>
      <c r="Y20" s="108">
        <v>0</v>
      </c>
      <c r="Z20" s="108">
        <v>2</v>
      </c>
      <c r="AA20" s="108">
        <v>0</v>
      </c>
      <c r="AB20" s="108">
        <v>0</v>
      </c>
      <c r="AC20" s="108">
        <v>1</v>
      </c>
      <c r="AD20" s="108">
        <v>2</v>
      </c>
      <c r="AE20" s="108">
        <f>AC20+AD20</f>
        <v>3</v>
      </c>
      <c r="AF20" s="115"/>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row>
    <row r="21" ht="17" customHeight="1">
      <c r="A21" t="s" s="167">
        <v>1945</v>
      </c>
      <c r="B21" s="108">
        <v>4</v>
      </c>
      <c r="C21" s="105"/>
      <c r="D21" t="s" s="167">
        <v>1682</v>
      </c>
      <c r="E21" s="108">
        <v>10</v>
      </c>
      <c r="F21" s="108">
        <v>27</v>
      </c>
      <c r="G21" s="108">
        <v>17</v>
      </c>
      <c r="H21" s="108">
        <v>4</v>
      </c>
      <c r="I21" s="108">
        <v>4</v>
      </c>
      <c r="J21" s="108">
        <v>2</v>
      </c>
      <c r="K21" s="108">
        <v>4</v>
      </c>
      <c r="L21" s="108">
        <v>4</v>
      </c>
      <c r="M21" s="108">
        <v>10</v>
      </c>
      <c r="N21" s="108">
        <v>2</v>
      </c>
      <c r="O21" s="108">
        <v>0</v>
      </c>
      <c r="P21" s="108">
        <v>7</v>
      </c>
      <c r="Q21" s="108">
        <v>788</v>
      </c>
      <c r="R21" s="108">
        <v>8</v>
      </c>
      <c r="S21" s="108">
        <v>13</v>
      </c>
      <c r="T21" s="108">
        <v>0</v>
      </c>
      <c r="U21" s="108">
        <v>88</v>
      </c>
      <c r="V21" s="108">
        <v>15</v>
      </c>
      <c r="W21" s="108">
        <v>14</v>
      </c>
      <c r="X21" s="108">
        <v>0</v>
      </c>
      <c r="Y21" s="108">
        <v>0</v>
      </c>
      <c r="Z21" s="108">
        <v>11</v>
      </c>
      <c r="AA21" s="108">
        <v>4</v>
      </c>
      <c r="AB21" s="108">
        <v>0</v>
      </c>
      <c r="AC21" s="108">
        <v>9</v>
      </c>
      <c r="AD21" s="108">
        <v>18</v>
      </c>
      <c r="AE21" s="108">
        <f>AC21+AD21</f>
        <v>27</v>
      </c>
      <c r="AF21" s="115"/>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row>
    <row r="22" ht="17" customHeight="1">
      <c r="A22" t="s" s="315">
        <v>1946</v>
      </c>
      <c r="B22" s="327">
        <v>4</v>
      </c>
      <c r="C22" s="105"/>
      <c r="D22" t="s" s="167">
        <v>1687</v>
      </c>
      <c r="E22" s="317">
        <v>9</v>
      </c>
      <c r="F22" s="119">
        <v>19</v>
      </c>
      <c r="G22" s="119">
        <v>8</v>
      </c>
      <c r="H22" s="119">
        <v>5</v>
      </c>
      <c r="I22" s="119">
        <v>3</v>
      </c>
      <c r="J22" s="119">
        <v>3</v>
      </c>
      <c r="K22" s="119">
        <v>4</v>
      </c>
      <c r="L22" s="119">
        <v>2</v>
      </c>
      <c r="M22" s="119">
        <v>4</v>
      </c>
      <c r="N22" s="119">
        <v>2</v>
      </c>
      <c r="O22" s="119">
        <v>5</v>
      </c>
      <c r="P22" s="119">
        <v>2</v>
      </c>
      <c r="Q22" s="119">
        <v>559</v>
      </c>
      <c r="R22" s="119">
        <v>5</v>
      </c>
      <c r="S22" s="119">
        <v>11</v>
      </c>
      <c r="T22" s="119">
        <v>3</v>
      </c>
      <c r="U22" s="119">
        <v>71</v>
      </c>
      <c r="V22" s="119">
        <v>20</v>
      </c>
      <c r="W22" s="119">
        <v>15</v>
      </c>
      <c r="X22" s="119">
        <v>0</v>
      </c>
      <c r="Y22" s="119">
        <v>0</v>
      </c>
      <c r="Z22" s="119">
        <v>8</v>
      </c>
      <c r="AA22" s="119">
        <v>2</v>
      </c>
      <c r="AB22" s="119">
        <v>3</v>
      </c>
      <c r="AC22" s="119">
        <v>7</v>
      </c>
      <c r="AD22" s="316">
        <v>12</v>
      </c>
      <c r="AE22" s="108">
        <f>AC22+AD22</f>
        <v>19</v>
      </c>
      <c r="AF22" s="115"/>
      <c r="AG22" s="17"/>
      <c r="AH22" s="17"/>
      <c r="AI22" s="17"/>
      <c r="AJ22" s="17"/>
      <c r="AK22" s="17"/>
      <c r="AL22" s="17"/>
      <c r="AM22" s="17"/>
      <c r="AN22" s="17"/>
      <c r="AO22" s="17"/>
      <c r="AP22" s="17"/>
      <c r="AQ22" s="17"/>
      <c r="AR22" s="17"/>
      <c r="AS22" s="17"/>
      <c r="AT22" s="17"/>
      <c r="AU22" s="17"/>
      <c r="AV22" s="17"/>
      <c r="AW22" s="17"/>
      <c r="AX22" s="17"/>
      <c r="AY22" s="17"/>
      <c r="AZ22" t="s" s="13">
        <v>285</v>
      </c>
      <c r="BA22" s="29">
        <v>4</v>
      </c>
      <c r="BB22" s="17"/>
      <c r="BC22" s="17"/>
      <c r="BD22" s="29">
        <v>9</v>
      </c>
      <c r="BE22" s="29">
        <v>19</v>
      </c>
      <c r="BF22" s="29">
        <v>8</v>
      </c>
      <c r="BG22" s="29">
        <v>5</v>
      </c>
      <c r="BH22" s="29">
        <v>3</v>
      </c>
      <c r="BI22" s="29">
        <v>3</v>
      </c>
      <c r="BJ22" s="29">
        <v>4</v>
      </c>
      <c r="BK22" s="29">
        <v>2</v>
      </c>
      <c r="BL22" s="29">
        <v>4</v>
      </c>
      <c r="BM22" s="29">
        <v>2</v>
      </c>
      <c r="BN22" s="29">
        <v>5</v>
      </c>
      <c r="BO22" s="29">
        <v>2</v>
      </c>
      <c r="BP22" s="29">
        <v>559</v>
      </c>
      <c r="BQ22" s="29">
        <v>5</v>
      </c>
    </row>
    <row r="23" ht="17.45" customHeight="1">
      <c r="A23" t="s" s="331">
        <v>1947</v>
      </c>
      <c r="B23" s="108">
        <v>20</v>
      </c>
      <c r="C23" s="216"/>
      <c r="D23" t="s" s="332">
        <v>1731</v>
      </c>
      <c r="E23" s="333">
        <v>42</v>
      </c>
      <c r="F23" s="333">
        <v>100</v>
      </c>
      <c r="G23" s="333">
        <v>53</v>
      </c>
      <c r="H23" s="333">
        <v>32</v>
      </c>
      <c r="I23" s="333">
        <v>8</v>
      </c>
      <c r="J23" s="333">
        <v>7</v>
      </c>
      <c r="K23" s="333">
        <v>21</v>
      </c>
      <c r="L23" s="333">
        <v>11</v>
      </c>
      <c r="M23" s="333">
        <v>23</v>
      </c>
      <c r="N23" s="333">
        <v>18</v>
      </c>
      <c r="O23" s="333">
        <v>15</v>
      </c>
      <c r="P23" s="333">
        <v>12</v>
      </c>
      <c r="Q23" s="333">
        <v>3339</v>
      </c>
      <c r="R23" s="333">
        <v>25</v>
      </c>
      <c r="S23" s="333">
        <v>49</v>
      </c>
      <c r="T23" s="333">
        <v>11</v>
      </c>
      <c r="U23" s="333">
        <v>321</v>
      </c>
      <c r="V23" s="333">
        <v>48</v>
      </c>
      <c r="W23" s="333">
        <v>40</v>
      </c>
      <c r="X23" s="333">
        <v>0</v>
      </c>
      <c r="Y23" s="333">
        <v>0</v>
      </c>
      <c r="Z23" s="333">
        <v>55</v>
      </c>
      <c r="AA23" s="333">
        <v>7</v>
      </c>
      <c r="AB23" s="333">
        <v>37</v>
      </c>
      <c r="AC23" s="333">
        <v>62</v>
      </c>
      <c r="AD23" s="334">
        <v>38</v>
      </c>
      <c r="AE23" s="108">
        <f>AC23+AD23</f>
        <v>100</v>
      </c>
      <c r="AF23" s="115"/>
      <c r="AG23" s="17"/>
      <c r="AH23" s="17"/>
      <c r="AI23" s="17"/>
      <c r="AJ23" s="17"/>
      <c r="AK23" s="17"/>
      <c r="AL23" s="17"/>
      <c r="AM23" s="17"/>
      <c r="AN23" s="17"/>
      <c r="AO23" s="17"/>
      <c r="AP23" s="17"/>
      <c r="AQ23" s="17"/>
      <c r="AR23" s="17"/>
      <c r="AS23" s="17"/>
      <c r="AT23" s="17"/>
      <c r="AU23" s="36"/>
      <c r="AV23" s="36"/>
      <c r="AW23" s="36"/>
      <c r="AX23" s="36"/>
      <c r="AY23" s="36"/>
      <c r="AZ23" t="s" s="13">
        <v>285</v>
      </c>
      <c r="BA23" s="17"/>
      <c r="BB23" s="29">
        <v>20</v>
      </c>
      <c r="BC23" t="s" s="13">
        <v>1731</v>
      </c>
      <c r="BD23" s="29">
        <v>42</v>
      </c>
      <c r="BE23" s="29">
        <v>100</v>
      </c>
      <c r="BF23" s="29">
        <v>53</v>
      </c>
      <c r="BG23" s="29">
        <v>32</v>
      </c>
      <c r="BH23" s="29">
        <v>8</v>
      </c>
      <c r="BI23" s="29">
        <v>7</v>
      </c>
      <c r="BJ23" s="29">
        <v>21</v>
      </c>
      <c r="BK23" s="29">
        <v>11</v>
      </c>
      <c r="BL23" s="29">
        <v>23</v>
      </c>
      <c r="BM23" s="29">
        <v>18</v>
      </c>
      <c r="BN23" s="29">
        <v>15</v>
      </c>
      <c r="BO23" s="29">
        <v>12</v>
      </c>
      <c r="BP23" s="29">
        <v>3339</v>
      </c>
      <c r="BQ23" s="29">
        <v>25</v>
      </c>
    </row>
    <row r="24" ht="17.45" customHeight="1">
      <c r="A24" t="s" s="167">
        <v>285</v>
      </c>
      <c r="B24" s="108">
        <f>SUM(B3:B22)</f>
        <v>152</v>
      </c>
      <c r="C24" s="108">
        <f>SUM(C3:C22)</f>
        <v>0</v>
      </c>
      <c r="D24" s="108">
        <f>SUM(D3:D22)</f>
        <v>0</v>
      </c>
      <c r="E24" s="108">
        <f>SUM(E1:E23)</f>
        <v>480</v>
      </c>
      <c r="F24" s="108">
        <f>SUM(F1:F23)</f>
        <v>841</v>
      </c>
      <c r="G24" s="108">
        <f>SUM(G1:G23)</f>
        <v>547</v>
      </c>
      <c r="H24" s="108">
        <f>SUM(H1:H23)</f>
        <v>207</v>
      </c>
      <c r="I24" s="108">
        <f>SUM(I1:I23)</f>
        <v>52</v>
      </c>
      <c r="J24" s="108">
        <f>SUM(J1:J23)</f>
        <v>35</v>
      </c>
      <c r="K24" s="108">
        <f>SUM(K1:K23)</f>
        <v>148</v>
      </c>
      <c r="L24" s="108">
        <f>SUM(L1:L23)</f>
        <v>88</v>
      </c>
      <c r="M24" s="108">
        <f>SUM(M1:M23)</f>
        <v>147</v>
      </c>
      <c r="N24" s="108">
        <f>SUM(N1:N23)</f>
        <v>92</v>
      </c>
      <c r="O24" s="108">
        <f>SUM(O1:O23)</f>
        <v>68</v>
      </c>
      <c r="P24" s="108">
        <f>SUM(P1:P23)</f>
        <v>298</v>
      </c>
      <c r="Q24" s="108">
        <f>SUM(Q1:Q23)</f>
        <v>28836.9</v>
      </c>
      <c r="R24" s="108">
        <f>SUM(R1:R23)</f>
        <v>191</v>
      </c>
      <c r="S24" s="108">
        <f>SUM(S1:S23)</f>
        <v>525</v>
      </c>
      <c r="T24" s="108">
        <f>SUM(T1:T23)</f>
        <v>54</v>
      </c>
      <c r="U24" s="108">
        <f>SUM(U1:U23)</f>
        <v>2190</v>
      </c>
      <c r="V24" s="108">
        <f>SUM(V1:V23)</f>
        <v>260</v>
      </c>
      <c r="W24" s="108">
        <f>SUM(W1:W23)</f>
        <v>225</v>
      </c>
      <c r="X24" s="108">
        <f>SUM(X1:X23)</f>
        <v>0</v>
      </c>
      <c r="Y24" s="108">
        <f>SUM(Y1:Y23)</f>
        <v>0</v>
      </c>
      <c r="Z24" s="108">
        <f>SUM(Z1:Z23)</f>
        <v>458</v>
      </c>
      <c r="AA24" s="108">
        <f>SUM(AA1:AA23)</f>
        <v>100</v>
      </c>
      <c r="AB24" s="108">
        <f>SUM(AB1:AB23)</f>
        <v>262</v>
      </c>
      <c r="AC24" s="108">
        <f>SUM(AC1:AC23)</f>
        <v>448</v>
      </c>
      <c r="AD24" s="108">
        <f>SUM(AD1:AD23)</f>
        <v>393</v>
      </c>
      <c r="AE24" s="108">
        <f>SUM(AE1:AE23)</f>
        <v>841</v>
      </c>
      <c r="AF24" s="115"/>
      <c r="AG24" s="17"/>
      <c r="AH24" s="17"/>
      <c r="AI24" s="17"/>
      <c r="AJ24" s="17"/>
      <c r="AK24" s="17"/>
      <c r="AL24" s="17"/>
      <c r="AM24" s="17"/>
      <c r="AN24" s="17"/>
      <c r="AO24" s="17"/>
      <c r="AP24" s="17"/>
      <c r="AQ24" s="17"/>
      <c r="AR24" s="17"/>
      <c r="AS24" s="17"/>
      <c r="AT24" s="17"/>
      <c r="AU24" s="36"/>
      <c r="AV24" s="36"/>
      <c r="AW24" s="36"/>
      <c r="AX24" s="36"/>
      <c r="AY24" s="36"/>
      <c r="AZ24" s="17"/>
      <c r="BA24" s="17"/>
      <c r="BB24" s="17"/>
      <c r="BC24" s="17"/>
      <c r="BD24" s="17"/>
      <c r="BE24" s="17"/>
      <c r="BF24" s="17"/>
      <c r="BG24" s="17"/>
      <c r="BH24" s="17"/>
      <c r="BI24" s="17"/>
      <c r="BJ24" s="17"/>
      <c r="BK24" s="17"/>
      <c r="BL24" s="17"/>
      <c r="BM24" s="17"/>
      <c r="BN24" s="17"/>
      <c r="BO24" s="17"/>
      <c r="BP24" s="17"/>
      <c r="BQ24" s="17"/>
    </row>
    <row r="25" ht="17" customHeight="1">
      <c r="A25" s="180"/>
      <c r="B25" s="180"/>
      <c r="C25" s="180"/>
      <c r="D25" s="180"/>
      <c r="E25" s="180"/>
      <c r="F25" s="119">
        <f>G24+H24+I24+J24</f>
        <v>841</v>
      </c>
      <c r="G25" s="335">
        <f>G24/F24</f>
        <v>0.6504161712247321</v>
      </c>
      <c r="H25" s="335"/>
      <c r="I25" s="335"/>
      <c r="J25" s="335"/>
      <c r="K25" s="336">
        <f>K24+L24+M24+N24+O24+P24</f>
        <v>841</v>
      </c>
      <c r="L25" s="219"/>
      <c r="M25" s="219"/>
      <c r="N25" s="219"/>
      <c r="O25" s="219"/>
      <c r="P25" s="337">
        <f>P24/F24</f>
        <v>0.354340071343639</v>
      </c>
      <c r="Q25" s="180"/>
      <c r="R25" s="180"/>
      <c r="S25" s="180"/>
      <c r="T25" s="180"/>
      <c r="U25" s="180"/>
      <c r="V25" s="180"/>
      <c r="W25" s="180"/>
      <c r="X25" s="180"/>
      <c r="Y25" s="180"/>
      <c r="Z25" s="335">
        <f>Z24/F24</f>
        <v>0.544589774078478</v>
      </c>
      <c r="AA25" s="180"/>
      <c r="AB25" s="180"/>
      <c r="AC25" s="119">
        <f>AC24+AD24</f>
        <v>841</v>
      </c>
      <c r="AD25" s="180"/>
      <c r="AE25" s="180"/>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row>
    <row r="26" ht="17" customHeight="1">
      <c r="A26" s="17"/>
      <c r="B26" s="17"/>
      <c r="C26" s="17"/>
      <c r="D26" s="17"/>
      <c r="E26" s="17"/>
      <c r="F26" s="17"/>
      <c r="G26" s="17"/>
      <c r="H26" s="17"/>
      <c r="I26" s="17"/>
      <c r="J26" s="17"/>
      <c r="K26" s="338"/>
      <c r="L26" s="339"/>
      <c r="M26" s="339"/>
      <c r="N26" s="339"/>
      <c r="O26" s="339"/>
      <c r="P26" s="339"/>
      <c r="Q26" s="114">
        <f>Q24/F24</f>
        <v>34.2888228299643</v>
      </c>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row>
    <row r="27" ht="17.5" customHeight="1">
      <c r="A27" s="17"/>
      <c r="B27" s="17"/>
      <c r="C27" s="17"/>
      <c r="D27" s="17"/>
      <c r="E27" s="17"/>
      <c r="F27" s="17"/>
      <c r="G27" s="17"/>
      <c r="H27" s="17"/>
      <c r="I27" s="17"/>
      <c r="J27" s="17"/>
      <c r="K27" s="195"/>
      <c r="L27" s="195"/>
      <c r="M27" s="195"/>
      <c r="N27" s="195"/>
      <c r="O27" s="195"/>
      <c r="P27" s="195"/>
      <c r="Q27" s="17"/>
      <c r="R27" s="17"/>
      <c r="S27" s="17"/>
      <c r="T27" s="17"/>
      <c r="U27" s="17"/>
      <c r="V27" s="17"/>
      <c r="W27" s="17"/>
      <c r="X27" s="17"/>
      <c r="Y27" s="17"/>
      <c r="Z27" s="17"/>
      <c r="AA27" s="17"/>
      <c r="AB27" s="17"/>
      <c r="AC27" s="17"/>
      <c r="AD27" s="17"/>
      <c r="AE27" s="17"/>
      <c r="AF27" s="340"/>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row>
    <row r="28" ht="17"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row>
    <row r="29" ht="17"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row>
    <row r="30" ht="17"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340"/>
      <c r="AH30" s="340"/>
      <c r="AI30" s="340"/>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BL119"/>
  <sheetViews>
    <sheetView workbookViewId="0" showGridLines="0" defaultGridColor="1"/>
  </sheetViews>
  <sheetFormatPr defaultColWidth="10.8333" defaultRowHeight="16" customHeight="1" outlineLevelRow="0" outlineLevelCol="0"/>
  <cols>
    <col min="1" max="1" width="10.8516" style="341" customWidth="1"/>
    <col min="2" max="2" width="12.6719" style="341" customWidth="1"/>
    <col min="3" max="11" width="10.8516" style="341" customWidth="1"/>
    <col min="12" max="12" width="14" style="341" customWidth="1"/>
    <col min="13" max="21" width="10.8516" style="341" customWidth="1"/>
    <col min="22" max="22" width="14.8516" style="341" customWidth="1"/>
    <col min="23" max="26" width="13" style="341" customWidth="1"/>
    <col min="27" max="29" width="10.8516" style="341" customWidth="1"/>
    <col min="30" max="31" width="8.5" style="341" customWidth="1"/>
    <col min="32" max="32" width="18.8516" style="341" customWidth="1"/>
    <col min="33" max="36" width="10.8516" style="341" customWidth="1"/>
    <col min="37" max="38" width="14.8516" style="341" customWidth="1"/>
    <col min="39" max="39" width="10.8516" style="341" customWidth="1"/>
    <col min="40" max="40" width="14.3516" style="341" customWidth="1"/>
    <col min="41" max="43" width="15" style="341" customWidth="1"/>
    <col min="44" max="44" width="8.5" style="341" customWidth="1"/>
    <col min="45" max="46" width="10.8516" style="341" customWidth="1"/>
    <col min="47" max="48" width="14.3516" style="341" customWidth="1"/>
    <col min="49" max="53" width="15.1719" style="341" customWidth="1"/>
    <col min="54" max="57" width="10.8516" style="341" customWidth="1"/>
    <col min="58" max="58" width="15.1719" style="341" customWidth="1"/>
    <col min="59" max="59" width="14" style="341" customWidth="1"/>
    <col min="60" max="64" width="10.8516" style="341" customWidth="1"/>
    <col min="65" max="16384" width="10.8516" style="341" customWidth="1"/>
  </cols>
  <sheetData>
    <row r="1" ht="204" customHeight="1">
      <c r="A1" t="s" s="342">
        <v>358</v>
      </c>
      <c r="B1" t="s" s="342">
        <v>1949</v>
      </c>
      <c r="C1" t="s" s="276">
        <v>1950</v>
      </c>
      <c r="D1" t="s" s="276">
        <v>1951</v>
      </c>
      <c r="E1" t="s" s="276">
        <v>1952</v>
      </c>
      <c r="F1" t="s" s="276">
        <v>785</v>
      </c>
      <c r="G1" t="s" s="276">
        <v>1953</v>
      </c>
      <c r="H1" t="s" s="276">
        <v>840</v>
      </c>
      <c r="I1" t="s" s="276">
        <v>1214</v>
      </c>
      <c r="J1" t="s" s="276">
        <v>1954</v>
      </c>
      <c r="K1" t="s" s="276">
        <v>1955</v>
      </c>
      <c r="L1" t="s" s="176">
        <v>1956</v>
      </c>
      <c r="M1" t="s" s="276">
        <v>1957</v>
      </c>
      <c r="N1" s="254"/>
      <c r="O1" t="s" s="176">
        <v>63</v>
      </c>
      <c r="P1" t="s" s="176">
        <v>1958</v>
      </c>
      <c r="Q1" t="s" s="176">
        <v>1959</v>
      </c>
      <c r="R1" t="s" s="176">
        <v>1960</v>
      </c>
      <c r="S1" t="s" s="176">
        <v>1961</v>
      </c>
      <c r="T1" t="s" s="176">
        <v>1962</v>
      </c>
      <c r="U1" t="s" s="176">
        <v>1963</v>
      </c>
      <c r="V1" t="s" s="176">
        <v>1964</v>
      </c>
      <c r="W1" t="s" s="176">
        <v>1965</v>
      </c>
      <c r="X1" t="s" s="176">
        <v>1966</v>
      </c>
      <c r="Y1" t="s" s="176">
        <v>1967</v>
      </c>
      <c r="Z1" t="s" s="176">
        <v>1805</v>
      </c>
      <c r="AA1" t="s" s="176">
        <v>1968</v>
      </c>
      <c r="AB1" t="s" s="176">
        <v>1969</v>
      </c>
      <c r="AC1" t="s" s="250">
        <v>84</v>
      </c>
      <c r="AD1" t="s" s="176">
        <v>1970</v>
      </c>
      <c r="AE1" t="s" s="250">
        <v>1361</v>
      </c>
      <c r="AF1" t="s" s="276">
        <v>1971</v>
      </c>
      <c r="AG1" t="s" s="276">
        <v>1972</v>
      </c>
      <c r="AH1" t="s" s="276">
        <v>917</v>
      </c>
      <c r="AI1" t="s" s="276">
        <v>1973</v>
      </c>
      <c r="AJ1" t="s" s="276">
        <v>1974</v>
      </c>
      <c r="AK1" t="s" s="276">
        <v>1975</v>
      </c>
      <c r="AL1" t="s" s="276">
        <v>1976</v>
      </c>
      <c r="AM1" t="s" s="276">
        <v>1977</v>
      </c>
      <c r="AN1" t="s" s="276">
        <v>1978</v>
      </c>
      <c r="AO1" t="s" s="342">
        <v>1979</v>
      </c>
      <c r="AP1" t="s" s="342">
        <v>1874</v>
      </c>
      <c r="AQ1" t="s" s="342">
        <v>1980</v>
      </c>
      <c r="AR1" t="s" s="342">
        <v>576</v>
      </c>
      <c r="AS1" t="s" s="276">
        <v>1981</v>
      </c>
      <c r="AT1" t="s" s="276">
        <v>1982</v>
      </c>
      <c r="AU1" t="s" s="276">
        <v>1983</v>
      </c>
      <c r="AV1" t="s" s="276">
        <v>1984</v>
      </c>
      <c r="AW1" t="s" s="276">
        <v>1985</v>
      </c>
      <c r="AX1" t="s" s="276">
        <v>1986</v>
      </c>
      <c r="AY1" t="s" s="250">
        <v>1987</v>
      </c>
      <c r="AZ1" t="s" s="250">
        <v>1803</v>
      </c>
      <c r="BA1" t="s" s="276">
        <v>1988</v>
      </c>
      <c r="BB1" t="s" s="276">
        <v>1989</v>
      </c>
      <c r="BC1" t="s" s="276">
        <v>1990</v>
      </c>
      <c r="BD1" t="s" s="342">
        <v>361</v>
      </c>
      <c r="BE1" t="s" s="342">
        <v>1991</v>
      </c>
      <c r="BF1" t="s" s="276">
        <v>45</v>
      </c>
      <c r="BG1" t="s" s="342">
        <v>1992</v>
      </c>
      <c r="BH1" s="252"/>
      <c r="BI1" s="8"/>
      <c r="BJ1" s="8"/>
      <c r="BK1" s="8"/>
      <c r="BL1" s="8"/>
    </row>
    <row r="2" ht="17.45" customHeight="1">
      <c r="A2" t="s" s="343">
        <v>4</v>
      </c>
      <c r="B2" s="253">
        <f>'BL'!Z21-'BL'!P21</f>
        <v>12</v>
      </c>
      <c r="C2" s="251"/>
      <c r="D2" s="251"/>
      <c r="E2" s="251"/>
      <c r="F2" s="251"/>
      <c r="G2" s="251"/>
      <c r="H2" s="251"/>
      <c r="I2" s="251"/>
      <c r="J2" s="251"/>
      <c r="K2" s="251"/>
      <c r="L2" s="344">
        <v>1</v>
      </c>
      <c r="M2" s="251"/>
      <c r="N2" s="251"/>
      <c r="O2" s="251"/>
      <c r="P2" s="251"/>
      <c r="Q2" s="345"/>
      <c r="R2" s="345"/>
      <c r="S2" s="345"/>
      <c r="T2" s="345"/>
      <c r="U2" s="344">
        <v>1</v>
      </c>
      <c r="V2" s="344">
        <v>1</v>
      </c>
      <c r="W2" s="345"/>
      <c r="X2" s="345"/>
      <c r="Y2" s="345"/>
      <c r="Z2" s="345"/>
      <c r="AA2" s="345"/>
      <c r="AB2" s="254"/>
      <c r="AC2" s="344">
        <v>1</v>
      </c>
      <c r="AD2" s="345"/>
      <c r="AE2" s="345"/>
      <c r="AF2" s="344">
        <v>1</v>
      </c>
      <c r="AG2" s="345"/>
      <c r="AH2" s="345"/>
      <c r="AI2" s="344">
        <v>1</v>
      </c>
      <c r="AJ2" s="344">
        <v>1</v>
      </c>
      <c r="AK2" s="344">
        <v>1</v>
      </c>
      <c r="AL2" s="345"/>
      <c r="AM2" s="345"/>
      <c r="AN2" s="344">
        <v>1</v>
      </c>
      <c r="AO2" s="345"/>
      <c r="AP2" s="345"/>
      <c r="AQ2" s="345"/>
      <c r="AR2" s="345"/>
      <c r="AS2" s="251"/>
      <c r="AT2" s="251"/>
      <c r="AU2" s="251"/>
      <c r="AV2" s="251"/>
      <c r="AW2" s="251"/>
      <c r="AX2" s="344">
        <v>1</v>
      </c>
      <c r="AY2" s="345"/>
      <c r="AZ2" s="345"/>
      <c r="BA2" s="251"/>
      <c r="BB2" s="344">
        <v>1</v>
      </c>
      <c r="BC2" s="345"/>
      <c r="BD2" s="345"/>
      <c r="BE2" s="345"/>
      <c r="BF2" s="344">
        <v>1</v>
      </c>
      <c r="BG2" s="253">
        <f>SUM(C2:BF2)</f>
        <v>12</v>
      </c>
      <c r="BH2" s="252"/>
      <c r="BI2" s="8"/>
      <c r="BJ2" s="8"/>
      <c r="BK2" s="8"/>
      <c r="BL2" s="8"/>
    </row>
    <row r="3" ht="17" customHeight="1">
      <c r="A3" t="s" s="250">
        <v>104</v>
      </c>
      <c r="B3" s="253">
        <f>'PC'!Z66-'PC'!P66</f>
        <v>12</v>
      </c>
      <c r="C3" s="253">
        <v>2</v>
      </c>
      <c r="D3" s="251"/>
      <c r="E3" s="251"/>
      <c r="F3" s="251"/>
      <c r="G3" s="251"/>
      <c r="H3" s="251"/>
      <c r="I3" s="251"/>
      <c r="J3" s="251"/>
      <c r="K3" s="251"/>
      <c r="L3" s="253">
        <v>1</v>
      </c>
      <c r="M3" s="251"/>
      <c r="N3" s="251"/>
      <c r="O3" s="251"/>
      <c r="P3" s="253">
        <v>1</v>
      </c>
      <c r="Q3" s="251"/>
      <c r="R3" s="251"/>
      <c r="S3" s="251"/>
      <c r="T3" s="251"/>
      <c r="U3" s="253">
        <v>1</v>
      </c>
      <c r="V3" s="251"/>
      <c r="W3" s="251"/>
      <c r="X3" s="251"/>
      <c r="Y3" s="251"/>
      <c r="Z3" s="251"/>
      <c r="AA3" s="251"/>
      <c r="AB3" s="251"/>
      <c r="AC3" s="251"/>
      <c r="AD3" s="251"/>
      <c r="AE3" s="251"/>
      <c r="AF3" s="251"/>
      <c r="AG3" s="251"/>
      <c r="AH3" s="251"/>
      <c r="AI3" s="251"/>
      <c r="AJ3" s="251"/>
      <c r="AK3" s="253">
        <v>3</v>
      </c>
      <c r="AL3" s="251"/>
      <c r="AM3" s="251"/>
      <c r="AN3" s="253">
        <v>4</v>
      </c>
      <c r="AO3" s="251"/>
      <c r="AP3" s="251"/>
      <c r="AQ3" s="251"/>
      <c r="AR3" s="251"/>
      <c r="AS3" s="251"/>
      <c r="AT3" s="251"/>
      <c r="AU3" s="251"/>
      <c r="AV3" s="251"/>
      <c r="AW3" s="251"/>
      <c r="AX3" s="251"/>
      <c r="AY3" s="251"/>
      <c r="AZ3" s="251"/>
      <c r="BA3" s="251"/>
      <c r="BB3" s="251"/>
      <c r="BC3" s="251"/>
      <c r="BD3" s="251"/>
      <c r="BE3" s="251"/>
      <c r="BF3" s="251"/>
      <c r="BG3" s="253">
        <f>SUM(C3:BF3)</f>
        <v>12</v>
      </c>
      <c r="BH3" s="252"/>
      <c r="BI3" s="8"/>
      <c r="BJ3" s="8"/>
      <c r="BK3" s="8"/>
      <c r="BL3" s="8"/>
    </row>
    <row r="4" ht="17" customHeight="1">
      <c r="A4" t="s" s="250">
        <v>1921</v>
      </c>
      <c r="B4" s="253">
        <f>'WesternTerrace'!Z31-'WesternTerrace'!P31</f>
        <v>10</v>
      </c>
      <c r="C4" s="251"/>
      <c r="D4" s="251"/>
      <c r="E4" s="251"/>
      <c r="F4" s="251"/>
      <c r="G4" s="251"/>
      <c r="H4" s="251"/>
      <c r="I4" s="251"/>
      <c r="J4" s="251"/>
      <c r="K4" s="251"/>
      <c r="L4" s="251"/>
      <c r="M4" s="251"/>
      <c r="N4" s="251"/>
      <c r="O4" s="251"/>
      <c r="P4" s="251"/>
      <c r="Q4" s="251"/>
      <c r="R4" s="251"/>
      <c r="S4" s="251"/>
      <c r="T4" s="251"/>
      <c r="U4" s="253">
        <v>1</v>
      </c>
      <c r="V4" s="251"/>
      <c r="W4" s="251"/>
      <c r="X4" s="251"/>
      <c r="Y4" s="251"/>
      <c r="Z4" s="251"/>
      <c r="AA4" s="251"/>
      <c r="AB4" s="253">
        <v>1</v>
      </c>
      <c r="AC4" s="251"/>
      <c r="AD4" s="251"/>
      <c r="AE4" s="251"/>
      <c r="AF4" s="251"/>
      <c r="AG4" s="251"/>
      <c r="AH4" s="251"/>
      <c r="AI4" s="251"/>
      <c r="AJ4" s="251"/>
      <c r="AK4" s="253">
        <v>4</v>
      </c>
      <c r="AL4" s="251"/>
      <c r="AM4" s="251"/>
      <c r="AN4" s="251"/>
      <c r="AO4" s="251"/>
      <c r="AP4" s="251"/>
      <c r="AQ4" s="251"/>
      <c r="AR4" s="251"/>
      <c r="AS4" s="251"/>
      <c r="AT4" s="251"/>
      <c r="AU4" s="251"/>
      <c r="AV4" s="251"/>
      <c r="AW4" s="251"/>
      <c r="AX4" s="251"/>
      <c r="AY4" s="253">
        <v>3</v>
      </c>
      <c r="AZ4" s="251"/>
      <c r="BA4" s="253">
        <v>1</v>
      </c>
      <c r="BB4" s="251"/>
      <c r="BC4" s="251"/>
      <c r="BD4" s="251"/>
      <c r="BE4" s="251"/>
      <c r="BF4" s="251"/>
      <c r="BG4" s="253">
        <f>SUM(C4:BF4)</f>
        <v>10</v>
      </c>
      <c r="BH4" s="252"/>
      <c r="BI4" s="8"/>
      <c r="BJ4" s="8"/>
      <c r="BK4" s="8"/>
      <c r="BL4" s="8"/>
    </row>
    <row r="5" ht="17.45" customHeight="1">
      <c r="A5" t="s" s="250">
        <v>1923</v>
      </c>
      <c r="B5" s="344">
        <f>'North Rd'!Z13-'North Rd'!P13</f>
        <v>3</v>
      </c>
      <c r="C5" s="346"/>
      <c r="D5" s="346"/>
      <c r="E5" s="346"/>
      <c r="F5" s="346"/>
      <c r="G5" s="346"/>
      <c r="H5" s="346"/>
      <c r="I5" s="346"/>
      <c r="J5" s="346"/>
      <c r="K5" s="346"/>
      <c r="L5" s="251"/>
      <c r="M5" s="346"/>
      <c r="N5" s="346"/>
      <c r="O5" s="346"/>
      <c r="P5" s="346"/>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3">
        <v>1</v>
      </c>
      <c r="AP5" s="251"/>
      <c r="AQ5" s="251"/>
      <c r="AR5" s="251"/>
      <c r="AS5" s="253">
        <v>1</v>
      </c>
      <c r="AT5" s="251"/>
      <c r="AU5" s="251"/>
      <c r="AV5" s="251"/>
      <c r="AW5" s="251"/>
      <c r="AX5" s="251"/>
      <c r="AY5" s="251"/>
      <c r="AZ5" s="251"/>
      <c r="BA5" s="251"/>
      <c r="BB5" s="251"/>
      <c r="BC5" s="251"/>
      <c r="BD5" s="253">
        <v>1</v>
      </c>
      <c r="BE5" s="251"/>
      <c r="BF5" s="251"/>
      <c r="BG5" s="253">
        <f>SUM(C5:BF5)</f>
        <v>3</v>
      </c>
      <c r="BH5" s="252"/>
      <c r="BI5" s="8"/>
      <c r="BJ5" s="145"/>
      <c r="BK5" s="145"/>
      <c r="BL5" s="145"/>
    </row>
    <row r="6" ht="17.45" customHeight="1">
      <c r="A6" t="s" s="250">
        <v>1924</v>
      </c>
      <c r="B6" s="344">
        <f>'Lincoln Circus'!Z13-'Lincoln Circus'!P13</f>
        <v>6</v>
      </c>
      <c r="C6" s="347">
        <v>1</v>
      </c>
      <c r="D6" s="346"/>
      <c r="E6" s="346"/>
      <c r="F6" s="346"/>
      <c r="G6" s="347">
        <v>2</v>
      </c>
      <c r="H6" s="346"/>
      <c r="I6" s="346"/>
      <c r="J6" s="346"/>
      <c r="K6" s="346"/>
      <c r="L6" s="251"/>
      <c r="M6" s="346"/>
      <c r="N6" s="346"/>
      <c r="O6" s="346"/>
      <c r="P6" s="346"/>
      <c r="Q6" s="251"/>
      <c r="R6" s="253">
        <v>1</v>
      </c>
      <c r="S6" s="251"/>
      <c r="T6" s="251"/>
      <c r="U6" s="251"/>
      <c r="V6" s="251"/>
      <c r="W6" s="251"/>
      <c r="X6" s="251"/>
      <c r="Y6" s="251"/>
      <c r="Z6" s="251"/>
      <c r="AA6" s="251"/>
      <c r="AB6" s="251"/>
      <c r="AC6" s="251"/>
      <c r="AD6" s="251"/>
      <c r="AE6" s="251"/>
      <c r="AF6" s="253">
        <v>1</v>
      </c>
      <c r="AG6" s="251"/>
      <c r="AH6" s="251"/>
      <c r="AI6" s="251"/>
      <c r="AJ6" s="251"/>
      <c r="AK6" s="251"/>
      <c r="AL6" s="251"/>
      <c r="AM6" s="253">
        <v>1</v>
      </c>
      <c r="AN6" s="251"/>
      <c r="AO6" s="251"/>
      <c r="AP6" s="251"/>
      <c r="AQ6" s="251"/>
      <c r="AR6" s="251"/>
      <c r="AS6" s="251"/>
      <c r="AT6" s="251"/>
      <c r="AU6" s="251"/>
      <c r="AV6" s="251"/>
      <c r="AW6" s="251"/>
      <c r="AX6" s="251"/>
      <c r="AY6" s="251"/>
      <c r="AZ6" s="251"/>
      <c r="BA6" s="251"/>
      <c r="BB6" s="251"/>
      <c r="BC6" s="251"/>
      <c r="BD6" s="251"/>
      <c r="BE6" s="251"/>
      <c r="BF6" s="251"/>
      <c r="BG6" s="253">
        <f>SUM(C6:BF6)</f>
        <v>6</v>
      </c>
      <c r="BH6" s="252"/>
      <c r="BI6" s="8"/>
      <c r="BJ6" s="145"/>
      <c r="BK6" s="145"/>
      <c r="BL6" s="145"/>
    </row>
    <row r="7" ht="17.45" customHeight="1">
      <c r="A7" t="s" s="250">
        <v>1925</v>
      </c>
      <c r="B7" s="344">
        <f>'newcastlecircus'!Z28-'newcastlecircus'!P28</f>
        <v>5</v>
      </c>
      <c r="C7" s="346"/>
      <c r="D7" s="346"/>
      <c r="E7" s="346"/>
      <c r="F7" s="346"/>
      <c r="G7" s="346"/>
      <c r="H7" s="346"/>
      <c r="I7" s="346"/>
      <c r="J7" s="346"/>
      <c r="K7" s="346"/>
      <c r="L7" s="251"/>
      <c r="M7" s="346"/>
      <c r="N7" s="346"/>
      <c r="O7" s="346"/>
      <c r="P7" s="346"/>
      <c r="Q7" s="251"/>
      <c r="R7" s="251"/>
      <c r="S7" s="251"/>
      <c r="T7" s="253">
        <v>1</v>
      </c>
      <c r="U7" s="251"/>
      <c r="V7" s="253">
        <v>1</v>
      </c>
      <c r="W7" s="251"/>
      <c r="X7" s="251"/>
      <c r="Y7" s="251"/>
      <c r="Z7" s="251"/>
      <c r="AA7" s="251"/>
      <c r="AB7" s="251"/>
      <c r="AC7" s="251"/>
      <c r="AD7" s="251"/>
      <c r="AE7" s="251"/>
      <c r="AF7" s="251"/>
      <c r="AG7" s="251"/>
      <c r="AH7" s="251"/>
      <c r="AI7" s="251"/>
      <c r="AJ7" s="251"/>
      <c r="AK7" s="253">
        <v>2</v>
      </c>
      <c r="AL7" s="251"/>
      <c r="AM7" s="251"/>
      <c r="AN7" s="251"/>
      <c r="AO7" s="251"/>
      <c r="AP7" s="251"/>
      <c r="AQ7" s="253">
        <v>1</v>
      </c>
      <c r="AR7" s="251"/>
      <c r="AS7" s="251"/>
      <c r="AT7" s="251"/>
      <c r="AU7" s="251"/>
      <c r="AV7" s="251"/>
      <c r="AW7" s="251"/>
      <c r="AX7" s="251"/>
      <c r="AY7" s="251"/>
      <c r="AZ7" s="251"/>
      <c r="BA7" s="251"/>
      <c r="BB7" s="251"/>
      <c r="BC7" s="251"/>
      <c r="BD7" s="251"/>
      <c r="BE7" s="251"/>
      <c r="BF7" s="251"/>
      <c r="BG7" s="253">
        <f>SUM(C7:BF7)</f>
        <v>5</v>
      </c>
      <c r="BH7" s="252"/>
      <c r="BI7" s="8"/>
      <c r="BJ7" s="145"/>
      <c r="BK7" s="145"/>
      <c r="BL7" s="145"/>
    </row>
    <row r="8" ht="17.45" customHeight="1">
      <c r="A8" t="s" s="250">
        <v>1927</v>
      </c>
      <c r="B8" s="344">
        <f>'Park Drive'!Z22-'Park Drive'!P22</f>
        <v>4</v>
      </c>
      <c r="C8" s="346"/>
      <c r="D8" s="346"/>
      <c r="E8" s="346"/>
      <c r="F8" s="346"/>
      <c r="G8" s="346"/>
      <c r="H8" s="346"/>
      <c r="I8" s="346"/>
      <c r="J8" s="347">
        <v>1</v>
      </c>
      <c r="K8" s="346"/>
      <c r="L8" s="251"/>
      <c r="M8" s="346"/>
      <c r="N8" s="346"/>
      <c r="O8" s="346"/>
      <c r="P8" s="346"/>
      <c r="Q8" s="251"/>
      <c r="R8" s="251"/>
      <c r="S8" s="251"/>
      <c r="T8" s="251"/>
      <c r="U8" s="251"/>
      <c r="V8" s="251"/>
      <c r="W8" s="251"/>
      <c r="X8" s="251"/>
      <c r="Y8" s="251"/>
      <c r="Z8" s="251"/>
      <c r="AA8" s="251"/>
      <c r="AB8" s="251"/>
      <c r="AC8" s="251"/>
      <c r="AD8" s="251"/>
      <c r="AE8" s="251"/>
      <c r="AF8" s="251"/>
      <c r="AG8" s="251"/>
      <c r="AH8" s="251"/>
      <c r="AI8" s="251"/>
      <c r="AJ8" s="251"/>
      <c r="AK8" s="253">
        <v>2</v>
      </c>
      <c r="AL8" s="251"/>
      <c r="AM8" s="251"/>
      <c r="AN8" s="253">
        <v>1</v>
      </c>
      <c r="AO8" s="251"/>
      <c r="AP8" s="251"/>
      <c r="AQ8" s="251"/>
      <c r="AR8" s="251"/>
      <c r="AS8" s="251"/>
      <c r="AT8" s="251"/>
      <c r="AU8" s="251"/>
      <c r="AV8" s="251"/>
      <c r="AW8" s="251"/>
      <c r="AX8" s="251"/>
      <c r="AY8" s="251"/>
      <c r="AZ8" s="251"/>
      <c r="BA8" s="251"/>
      <c r="BB8" s="251"/>
      <c r="BC8" s="251"/>
      <c r="BD8" s="251"/>
      <c r="BE8" s="251"/>
      <c r="BF8" s="251"/>
      <c r="BG8" s="253">
        <f>SUM(C8:BF8)</f>
        <v>4</v>
      </c>
      <c r="BH8" s="252"/>
      <c r="BI8" s="8"/>
      <c r="BJ8" s="145"/>
      <c r="BK8" s="145"/>
      <c r="BL8" s="145"/>
    </row>
    <row r="9" ht="17.45" customHeight="1">
      <c r="A9" t="s" s="250">
        <v>1928</v>
      </c>
      <c r="B9" s="344">
        <f>'Peveril Drive'!Z54-'Peveril Drive'!P54</f>
        <v>13</v>
      </c>
      <c r="C9" s="346"/>
      <c r="D9" s="346"/>
      <c r="E9" s="346"/>
      <c r="F9" s="346"/>
      <c r="G9" s="346"/>
      <c r="H9" s="346"/>
      <c r="I9" s="346"/>
      <c r="J9" s="346"/>
      <c r="K9" s="346"/>
      <c r="L9" s="251"/>
      <c r="M9" s="346"/>
      <c r="N9" s="346"/>
      <c r="O9" s="346"/>
      <c r="P9" s="346"/>
      <c r="Q9" s="251"/>
      <c r="R9" s="251"/>
      <c r="S9" s="253">
        <v>1</v>
      </c>
      <c r="T9" s="251"/>
      <c r="U9" s="251"/>
      <c r="V9" s="251"/>
      <c r="W9" s="253">
        <v>1</v>
      </c>
      <c r="X9" s="251"/>
      <c r="Y9" s="251"/>
      <c r="Z9" s="251"/>
      <c r="AA9" s="251"/>
      <c r="AB9" s="253">
        <v>1</v>
      </c>
      <c r="AC9" s="251"/>
      <c r="AD9" s="253">
        <v>1</v>
      </c>
      <c r="AE9" s="251"/>
      <c r="AF9" s="251"/>
      <c r="AG9" s="251"/>
      <c r="AH9" s="251"/>
      <c r="AI9" s="251"/>
      <c r="AJ9" s="251"/>
      <c r="AK9" s="253">
        <v>4</v>
      </c>
      <c r="AL9" s="251"/>
      <c r="AM9" s="251"/>
      <c r="AN9" s="251"/>
      <c r="AO9" s="253">
        <v>1</v>
      </c>
      <c r="AP9" s="251"/>
      <c r="AQ9" s="251"/>
      <c r="AR9" s="251"/>
      <c r="AS9" s="251"/>
      <c r="AT9" s="251"/>
      <c r="AU9" s="253">
        <v>1</v>
      </c>
      <c r="AV9" s="251"/>
      <c r="AW9" s="253">
        <v>1</v>
      </c>
      <c r="AX9" s="253">
        <v>2</v>
      </c>
      <c r="AY9" s="251"/>
      <c r="AZ9" s="251"/>
      <c r="BA9" s="251"/>
      <c r="BB9" s="251"/>
      <c r="BC9" s="251"/>
      <c r="BD9" s="251"/>
      <c r="BE9" s="251"/>
      <c r="BF9" s="251"/>
      <c r="BG9" s="253">
        <f>SUM(C9:BF9)</f>
        <v>13</v>
      </c>
      <c r="BH9" s="252"/>
      <c r="BI9" s="8"/>
      <c r="BJ9" s="145"/>
      <c r="BK9" s="145"/>
      <c r="BL9" s="145"/>
    </row>
    <row r="10" ht="17.45" customHeight="1">
      <c r="A10" t="s" s="250">
        <v>1929</v>
      </c>
      <c r="B10" s="344">
        <f>'lentonave-dan'!AA125-'lentonave-dan'!R125</f>
        <v>41</v>
      </c>
      <c r="C10" s="346"/>
      <c r="D10" s="346"/>
      <c r="E10" s="347">
        <v>3</v>
      </c>
      <c r="F10" s="347">
        <v>1</v>
      </c>
      <c r="G10" s="346"/>
      <c r="H10" s="347">
        <v>1</v>
      </c>
      <c r="I10" s="346"/>
      <c r="J10" s="346"/>
      <c r="K10" s="346"/>
      <c r="L10" s="253">
        <v>3</v>
      </c>
      <c r="M10" s="346"/>
      <c r="N10" s="346"/>
      <c r="O10" s="346"/>
      <c r="P10" s="346"/>
      <c r="Q10" s="251"/>
      <c r="R10" s="253">
        <v>4</v>
      </c>
      <c r="S10" s="251"/>
      <c r="T10" s="251"/>
      <c r="U10" s="253">
        <v>2</v>
      </c>
      <c r="V10" s="253">
        <v>3</v>
      </c>
      <c r="W10" s="251"/>
      <c r="X10" s="251"/>
      <c r="Y10" s="251"/>
      <c r="Z10" s="251"/>
      <c r="AA10" s="253">
        <v>2</v>
      </c>
      <c r="AB10" s="253">
        <v>2</v>
      </c>
      <c r="AC10" s="251"/>
      <c r="AD10" s="251"/>
      <c r="AE10" s="251"/>
      <c r="AF10" s="253">
        <v>1</v>
      </c>
      <c r="AG10" s="253">
        <v>1</v>
      </c>
      <c r="AH10" s="253">
        <v>2</v>
      </c>
      <c r="AI10" s="253">
        <v>2</v>
      </c>
      <c r="AJ10" s="253">
        <v>2</v>
      </c>
      <c r="AK10" s="253">
        <v>2</v>
      </c>
      <c r="AL10" s="251"/>
      <c r="AM10" s="251"/>
      <c r="AN10" s="253">
        <v>2</v>
      </c>
      <c r="AO10" s="251"/>
      <c r="AP10" s="251"/>
      <c r="AQ10" s="251"/>
      <c r="AR10" s="251"/>
      <c r="AS10" s="251"/>
      <c r="AT10" s="251"/>
      <c r="AU10" s="251"/>
      <c r="AV10" s="253">
        <v>1</v>
      </c>
      <c r="AW10" s="251"/>
      <c r="AX10" s="253">
        <v>1</v>
      </c>
      <c r="AY10" s="253">
        <v>5</v>
      </c>
      <c r="AZ10" s="251"/>
      <c r="BA10" s="253">
        <v>1</v>
      </c>
      <c r="BB10" s="251"/>
      <c r="BC10" s="251"/>
      <c r="BD10" s="251"/>
      <c r="BE10" s="251"/>
      <c r="BF10" s="251"/>
      <c r="BG10" s="253">
        <f>SUM(C10:BF10)</f>
        <v>41</v>
      </c>
      <c r="BH10" s="252"/>
      <c r="BI10" s="8"/>
      <c r="BJ10" s="145"/>
      <c r="BK10" s="145"/>
      <c r="BL10" s="145"/>
    </row>
    <row r="11" ht="17.45" customHeight="1">
      <c r="A11" t="s" s="250">
        <v>1931</v>
      </c>
      <c r="B11" s="344">
        <f>'Clumber rd W dan'!AA18-'Clumber rd W dan'!R18</f>
        <v>5</v>
      </c>
      <c r="C11" s="346"/>
      <c r="D11" s="346"/>
      <c r="E11" s="346"/>
      <c r="F11" s="346"/>
      <c r="G11" s="346"/>
      <c r="H11" s="346"/>
      <c r="I11" s="346"/>
      <c r="J11" s="346"/>
      <c r="K11" s="346"/>
      <c r="L11" s="251"/>
      <c r="M11" s="346"/>
      <c r="N11" s="346"/>
      <c r="O11" s="346"/>
      <c r="P11" s="346"/>
      <c r="Q11" s="251"/>
      <c r="R11" s="251"/>
      <c r="S11" s="251"/>
      <c r="T11" s="251"/>
      <c r="U11" s="251"/>
      <c r="V11" s="251"/>
      <c r="W11" s="251"/>
      <c r="X11" s="251"/>
      <c r="Y11" s="251"/>
      <c r="Z11" s="251"/>
      <c r="AA11" s="251"/>
      <c r="AB11" s="251"/>
      <c r="AC11" s="251"/>
      <c r="AD11" s="251"/>
      <c r="AE11" s="251"/>
      <c r="AF11" s="251"/>
      <c r="AG11" s="251"/>
      <c r="AH11" s="251"/>
      <c r="AI11" s="251"/>
      <c r="AJ11" s="251"/>
      <c r="AK11" s="253">
        <v>3</v>
      </c>
      <c r="AL11" s="251"/>
      <c r="AM11" s="251"/>
      <c r="AN11" s="251"/>
      <c r="AO11" s="251"/>
      <c r="AP11" s="251"/>
      <c r="AQ11" s="251"/>
      <c r="AR11" s="251"/>
      <c r="AS11" s="251"/>
      <c r="AT11" s="251"/>
      <c r="AU11" s="251"/>
      <c r="AV11" s="251"/>
      <c r="AW11" s="251"/>
      <c r="AX11" s="253">
        <v>1</v>
      </c>
      <c r="AY11" s="251"/>
      <c r="AZ11" s="251"/>
      <c r="BA11" s="251"/>
      <c r="BB11" s="253">
        <v>1</v>
      </c>
      <c r="BC11" s="251"/>
      <c r="BD11" s="251"/>
      <c r="BE11" s="251"/>
      <c r="BF11" s="251"/>
      <c r="BG11" s="253">
        <f>SUM(C11:BF11)</f>
        <v>5</v>
      </c>
      <c r="BH11" s="252"/>
      <c r="BI11" s="8"/>
      <c r="BJ11" s="145"/>
      <c r="BK11" s="145"/>
      <c r="BL11" s="145"/>
    </row>
    <row r="12" ht="17.45" customHeight="1">
      <c r="A12" t="s" s="250">
        <v>1933</v>
      </c>
      <c r="B12" s="344">
        <f>'maxtoke rd dan'!AA18-'maxtoke rd dan'!R18</f>
        <v>2</v>
      </c>
      <c r="C12" s="346"/>
      <c r="D12" s="346"/>
      <c r="E12" s="346"/>
      <c r="F12" s="346"/>
      <c r="G12" s="346"/>
      <c r="H12" s="346"/>
      <c r="I12" s="346"/>
      <c r="J12" s="346"/>
      <c r="K12" s="346"/>
      <c r="L12" s="251"/>
      <c r="M12" s="346"/>
      <c r="N12" s="346"/>
      <c r="O12" s="346"/>
      <c r="P12" s="346"/>
      <c r="Q12" s="251"/>
      <c r="R12" s="251"/>
      <c r="S12" s="253">
        <v>1</v>
      </c>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3">
        <v>1</v>
      </c>
      <c r="AZ12" s="251"/>
      <c r="BA12" s="251"/>
      <c r="BB12" s="251"/>
      <c r="BC12" s="251"/>
      <c r="BD12" s="251"/>
      <c r="BE12" s="251"/>
      <c r="BF12" s="251"/>
      <c r="BG12" s="253">
        <f>SUM(C12:BF12)</f>
        <v>2</v>
      </c>
      <c r="BH12" s="252"/>
      <c r="BI12" s="8"/>
      <c r="BJ12" s="145"/>
      <c r="BK12" s="145"/>
      <c r="BL12" s="145"/>
    </row>
    <row r="13" ht="17.45" customHeight="1">
      <c r="A13" t="s" s="250">
        <v>1935</v>
      </c>
      <c r="B13" s="344">
        <f>'clumbercress dan'!AA34-'clumbercress dan'!R34</f>
        <v>4</v>
      </c>
      <c r="C13" s="346"/>
      <c r="D13" s="346"/>
      <c r="E13" s="346"/>
      <c r="F13" s="346"/>
      <c r="G13" s="346"/>
      <c r="H13" s="346"/>
      <c r="I13" s="346"/>
      <c r="J13" s="346"/>
      <c r="K13" s="346"/>
      <c r="L13" s="251"/>
      <c r="M13" s="346"/>
      <c r="N13" s="346"/>
      <c r="O13" s="346"/>
      <c r="P13" s="346"/>
      <c r="Q13" s="251"/>
      <c r="R13" s="251"/>
      <c r="S13" s="251"/>
      <c r="T13" s="251"/>
      <c r="U13" s="251"/>
      <c r="V13" s="251"/>
      <c r="W13" s="251"/>
      <c r="X13" s="251"/>
      <c r="Y13" s="251"/>
      <c r="Z13" s="251"/>
      <c r="AA13" s="251"/>
      <c r="AB13" s="253">
        <v>2</v>
      </c>
      <c r="AC13" s="251"/>
      <c r="AD13" s="251"/>
      <c r="AE13" s="251"/>
      <c r="AF13" s="251"/>
      <c r="AG13" s="251"/>
      <c r="AH13" s="251"/>
      <c r="AI13" s="251"/>
      <c r="AJ13" s="251"/>
      <c r="AK13" s="251"/>
      <c r="AL13" s="251"/>
      <c r="AM13" s="251"/>
      <c r="AN13" s="251"/>
      <c r="AO13" s="251"/>
      <c r="AP13" s="251"/>
      <c r="AQ13" s="251"/>
      <c r="AR13" s="251"/>
      <c r="AS13" s="251"/>
      <c r="AT13" s="251"/>
      <c r="AU13" s="251"/>
      <c r="AV13" s="251"/>
      <c r="AW13" s="253">
        <v>1</v>
      </c>
      <c r="AX13" s="251"/>
      <c r="AY13" s="253">
        <v>1</v>
      </c>
      <c r="AZ13" s="251"/>
      <c r="BA13" s="251"/>
      <c r="BB13" s="251"/>
      <c r="BC13" s="251"/>
      <c r="BD13" s="251"/>
      <c r="BE13" s="251"/>
      <c r="BF13" s="251"/>
      <c r="BG13" s="253">
        <f>SUM(C13:BF13)</f>
        <v>4</v>
      </c>
      <c r="BH13" s="252"/>
      <c r="BI13" s="8"/>
      <c r="BJ13" s="145"/>
      <c r="BK13" s="145"/>
      <c r="BL13" s="145"/>
    </row>
    <row r="14" ht="17.45" customHeight="1">
      <c r="A14" t="s" s="250">
        <v>1937</v>
      </c>
      <c r="B14" s="344">
        <v>9</v>
      </c>
      <c r="C14" s="345"/>
      <c r="D14" s="345"/>
      <c r="E14" s="345"/>
      <c r="F14" s="345"/>
      <c r="G14" s="345"/>
      <c r="H14" s="345"/>
      <c r="I14" s="345"/>
      <c r="J14" s="345"/>
      <c r="K14" s="345"/>
      <c r="L14" s="251"/>
      <c r="M14" s="345"/>
      <c r="N14" s="345"/>
      <c r="O14" s="345"/>
      <c r="P14" s="345"/>
      <c r="Q14" s="251"/>
      <c r="R14" s="251"/>
      <c r="S14" s="251"/>
      <c r="T14" s="251"/>
      <c r="U14" s="253">
        <v>1</v>
      </c>
      <c r="V14" s="251"/>
      <c r="W14" s="251"/>
      <c r="X14" s="251"/>
      <c r="Y14" s="251"/>
      <c r="Z14" s="251"/>
      <c r="AA14" s="251"/>
      <c r="AB14" s="253">
        <v>1</v>
      </c>
      <c r="AC14" s="251"/>
      <c r="AD14" s="251"/>
      <c r="AE14" s="251"/>
      <c r="AF14" s="253">
        <v>1</v>
      </c>
      <c r="AG14" s="251"/>
      <c r="AH14" s="251"/>
      <c r="AI14" s="251"/>
      <c r="AJ14" s="251"/>
      <c r="AK14" s="253">
        <v>3</v>
      </c>
      <c r="AL14" s="251"/>
      <c r="AM14" s="251"/>
      <c r="AN14" s="251"/>
      <c r="AO14" s="253">
        <v>1</v>
      </c>
      <c r="AP14" s="251"/>
      <c r="AQ14" s="251"/>
      <c r="AR14" s="251"/>
      <c r="AS14" s="251"/>
      <c r="AT14" s="251"/>
      <c r="AU14" s="251"/>
      <c r="AV14" s="251"/>
      <c r="AW14" s="251"/>
      <c r="AX14" s="251"/>
      <c r="AY14" s="253">
        <v>2</v>
      </c>
      <c r="AZ14" s="251"/>
      <c r="BA14" s="251"/>
      <c r="BB14" s="251"/>
      <c r="BC14" s="251"/>
      <c r="BD14" s="251"/>
      <c r="BE14" s="251"/>
      <c r="BF14" s="251"/>
      <c r="BG14" s="253">
        <f>SUM(C14:BF14)</f>
        <v>9</v>
      </c>
      <c r="BH14" s="252"/>
      <c r="BI14" s="8"/>
      <c r="BJ14" s="348"/>
      <c r="BK14" s="348"/>
      <c r="BL14" s="348"/>
    </row>
    <row r="15" ht="17.45" customHeight="1">
      <c r="A15" t="s" s="250">
        <v>1939</v>
      </c>
      <c r="B15" s="344">
        <v>8</v>
      </c>
      <c r="C15" s="346"/>
      <c r="D15" s="347">
        <v>1</v>
      </c>
      <c r="E15" s="346"/>
      <c r="F15" s="346"/>
      <c r="G15" s="346"/>
      <c r="H15" s="346"/>
      <c r="I15" s="347">
        <v>2</v>
      </c>
      <c r="J15" s="347">
        <v>2</v>
      </c>
      <c r="K15" s="346"/>
      <c r="L15" s="251"/>
      <c r="M15" s="346"/>
      <c r="N15" s="346"/>
      <c r="O15" s="346"/>
      <c r="P15" s="346"/>
      <c r="Q15" s="251"/>
      <c r="R15" s="251"/>
      <c r="S15" s="251"/>
      <c r="T15" s="251"/>
      <c r="U15" s="253">
        <v>1</v>
      </c>
      <c r="V15" s="251"/>
      <c r="W15" s="251"/>
      <c r="X15" s="251"/>
      <c r="Y15" s="251"/>
      <c r="Z15" s="251"/>
      <c r="AA15" s="251"/>
      <c r="AB15" s="251"/>
      <c r="AC15" s="251"/>
      <c r="AD15" s="251"/>
      <c r="AE15" s="251"/>
      <c r="AF15" s="251"/>
      <c r="AG15" s="251"/>
      <c r="AH15" s="251"/>
      <c r="AI15" s="251"/>
      <c r="AJ15" s="251"/>
      <c r="AK15" s="251"/>
      <c r="AL15" s="251"/>
      <c r="AM15" s="251"/>
      <c r="AN15" s="251"/>
      <c r="AO15" s="251"/>
      <c r="AP15" s="251"/>
      <c r="AQ15" s="251"/>
      <c r="AR15" s="251"/>
      <c r="AS15" s="251"/>
      <c r="AT15" s="251"/>
      <c r="AU15" s="251"/>
      <c r="AV15" s="251"/>
      <c r="AW15" s="251"/>
      <c r="AX15" s="251"/>
      <c r="AY15" s="253">
        <v>2</v>
      </c>
      <c r="AZ15" s="251"/>
      <c r="BA15" s="251"/>
      <c r="BB15" s="251"/>
      <c r="BC15" s="251"/>
      <c r="BD15" s="251"/>
      <c r="BE15" s="251"/>
      <c r="BF15" s="251"/>
      <c r="BG15" s="253">
        <f>SUM(C15:BF15)</f>
        <v>8</v>
      </c>
      <c r="BH15" s="252"/>
      <c r="BI15" s="8"/>
      <c r="BJ15" s="145"/>
      <c r="BK15" s="145"/>
      <c r="BL15" s="145"/>
    </row>
    <row r="16" ht="17.45" customHeight="1">
      <c r="A16" t="s" s="250">
        <v>1993</v>
      </c>
      <c r="B16" s="344">
        <v>14</v>
      </c>
      <c r="C16" s="346"/>
      <c r="D16" s="346"/>
      <c r="E16" s="346"/>
      <c r="F16" s="346"/>
      <c r="G16" s="346"/>
      <c r="H16" s="346"/>
      <c r="I16" s="347">
        <v>1</v>
      </c>
      <c r="J16" s="346"/>
      <c r="K16" s="346"/>
      <c r="L16" s="251"/>
      <c r="M16" s="346"/>
      <c r="N16" s="346"/>
      <c r="O16" s="346"/>
      <c r="P16" s="346"/>
      <c r="Q16" s="251"/>
      <c r="R16" s="251"/>
      <c r="S16" s="251"/>
      <c r="T16" s="251"/>
      <c r="U16" s="251"/>
      <c r="V16" s="253">
        <v>2</v>
      </c>
      <c r="W16" s="253">
        <v>1</v>
      </c>
      <c r="X16" s="251"/>
      <c r="Y16" s="251"/>
      <c r="Z16" s="251"/>
      <c r="AA16" s="251"/>
      <c r="AB16" s="251"/>
      <c r="AC16" s="251"/>
      <c r="AD16" s="251"/>
      <c r="AE16" s="251"/>
      <c r="AF16" s="253">
        <v>1</v>
      </c>
      <c r="AG16" s="251"/>
      <c r="AH16" s="251"/>
      <c r="AI16" s="251"/>
      <c r="AJ16" s="251"/>
      <c r="AK16" s="253">
        <v>2</v>
      </c>
      <c r="AL16" s="251"/>
      <c r="AM16" s="251"/>
      <c r="AN16" s="251"/>
      <c r="AO16" s="251"/>
      <c r="AP16" s="251"/>
      <c r="AQ16" s="251"/>
      <c r="AR16" s="253">
        <v>1</v>
      </c>
      <c r="AS16" s="251"/>
      <c r="AT16" s="253">
        <v>1</v>
      </c>
      <c r="AU16" s="251"/>
      <c r="AV16" s="251"/>
      <c r="AW16" s="251"/>
      <c r="AX16" s="251"/>
      <c r="AY16" s="253">
        <v>2</v>
      </c>
      <c r="AZ16" s="251"/>
      <c r="BA16" s="253">
        <v>3</v>
      </c>
      <c r="BB16" s="251"/>
      <c r="BC16" s="251"/>
      <c r="BD16" s="251"/>
      <c r="BE16" s="251"/>
      <c r="BF16" s="251"/>
      <c r="BG16" s="253">
        <f>SUM(C16:BF16)</f>
        <v>14</v>
      </c>
      <c r="BH16" s="252"/>
      <c r="BI16" s="8"/>
      <c r="BJ16" s="145"/>
      <c r="BK16" s="145"/>
      <c r="BL16" s="145"/>
    </row>
    <row r="17" ht="17.45" customHeight="1">
      <c r="A17" t="s" s="250">
        <v>1942</v>
      </c>
      <c r="B17" s="344">
        <f>'holles cres p202'!Z17-'holles cres p202'!P17</f>
        <v>2</v>
      </c>
      <c r="C17" s="346"/>
      <c r="D17" s="346"/>
      <c r="E17" s="346"/>
      <c r="F17" s="346"/>
      <c r="G17" s="346"/>
      <c r="H17" s="346"/>
      <c r="I17" s="346"/>
      <c r="J17" s="346"/>
      <c r="K17" s="346"/>
      <c r="L17" s="251"/>
      <c r="M17" s="346"/>
      <c r="N17" s="346"/>
      <c r="O17" s="346"/>
      <c r="P17" s="346"/>
      <c r="Q17" s="251"/>
      <c r="R17" s="251"/>
      <c r="S17" s="251"/>
      <c r="T17" s="251"/>
      <c r="U17" s="251"/>
      <c r="V17" s="251"/>
      <c r="W17" s="251"/>
      <c r="X17" s="251"/>
      <c r="Y17" s="251"/>
      <c r="Z17" s="251"/>
      <c r="AA17" s="251"/>
      <c r="AB17" s="251"/>
      <c r="AC17" s="251"/>
      <c r="AD17" s="251"/>
      <c r="AE17" s="253">
        <v>1</v>
      </c>
      <c r="AF17" s="251"/>
      <c r="AG17" s="251"/>
      <c r="AH17" s="251"/>
      <c r="AI17" s="251"/>
      <c r="AJ17" s="251"/>
      <c r="AK17" s="251"/>
      <c r="AL17" s="251"/>
      <c r="AM17" s="251"/>
      <c r="AN17" s="251"/>
      <c r="AO17" s="251"/>
      <c r="AP17" s="251"/>
      <c r="AQ17" s="251"/>
      <c r="AR17" s="251"/>
      <c r="AS17" s="251"/>
      <c r="AT17" s="251"/>
      <c r="AU17" s="251"/>
      <c r="AV17" s="251"/>
      <c r="AW17" s="251"/>
      <c r="AX17" s="251"/>
      <c r="AY17" s="253">
        <v>1</v>
      </c>
      <c r="AZ17" s="251"/>
      <c r="BA17" s="251"/>
      <c r="BB17" s="251"/>
      <c r="BC17" s="251"/>
      <c r="BD17" s="251"/>
      <c r="BE17" s="251"/>
      <c r="BF17" s="251"/>
      <c r="BG17" s="253">
        <f>SUM(C17:BF17)</f>
        <v>2</v>
      </c>
      <c r="BH17" s="252"/>
      <c r="BI17" s="8"/>
      <c r="BJ17" s="145"/>
      <c r="BK17" s="145"/>
      <c r="BL17" s="145"/>
    </row>
    <row r="18" ht="17.45" customHeight="1">
      <c r="A18" t="s" s="250">
        <v>1943</v>
      </c>
      <c r="B18" s="344">
        <f>'LentonRd p208'!Z133-'LentonRd p208'!P133</f>
        <v>22</v>
      </c>
      <c r="C18" s="347">
        <v>1</v>
      </c>
      <c r="D18" s="347">
        <v>3</v>
      </c>
      <c r="E18" s="347">
        <v>1</v>
      </c>
      <c r="F18" s="346"/>
      <c r="G18" s="346"/>
      <c r="H18" s="346"/>
      <c r="I18" s="346"/>
      <c r="J18" s="346"/>
      <c r="K18" s="346"/>
      <c r="L18" s="253">
        <v>1</v>
      </c>
      <c r="M18" s="346"/>
      <c r="N18" s="346"/>
      <c r="O18" s="346"/>
      <c r="P18" s="346"/>
      <c r="Q18" s="251"/>
      <c r="R18" s="251"/>
      <c r="S18" s="253">
        <v>1</v>
      </c>
      <c r="T18" s="251"/>
      <c r="U18" s="253">
        <v>1</v>
      </c>
      <c r="V18" s="251"/>
      <c r="W18" s="251"/>
      <c r="X18" s="251"/>
      <c r="Y18" s="251"/>
      <c r="Z18" s="251"/>
      <c r="AA18" s="251"/>
      <c r="AB18" s="253">
        <v>1</v>
      </c>
      <c r="AC18" s="251"/>
      <c r="AD18" s="251"/>
      <c r="AE18" s="251"/>
      <c r="AF18" s="251"/>
      <c r="AG18" s="251"/>
      <c r="AH18" s="251"/>
      <c r="AI18" s="251"/>
      <c r="AJ18" s="251"/>
      <c r="AK18" s="253">
        <v>3</v>
      </c>
      <c r="AL18" s="251"/>
      <c r="AM18" s="251"/>
      <c r="AN18" s="253">
        <v>3</v>
      </c>
      <c r="AO18" s="253">
        <v>1</v>
      </c>
      <c r="AP18" s="253">
        <v>1</v>
      </c>
      <c r="AQ18" s="251"/>
      <c r="AR18" s="251"/>
      <c r="AS18" s="251"/>
      <c r="AT18" s="251"/>
      <c r="AU18" s="253">
        <v>1</v>
      </c>
      <c r="AV18" s="251"/>
      <c r="AW18" s="251"/>
      <c r="AX18" s="251"/>
      <c r="AY18" s="253">
        <v>2</v>
      </c>
      <c r="AZ18" s="251"/>
      <c r="BA18" s="253">
        <v>1</v>
      </c>
      <c r="BB18" s="253">
        <v>1</v>
      </c>
      <c r="BC18" s="251"/>
      <c r="BD18" s="251"/>
      <c r="BE18" s="251"/>
      <c r="BF18" s="251"/>
      <c r="BG18" s="253">
        <f>SUM(C18:BF18)</f>
        <v>22</v>
      </c>
      <c r="BH18" s="252"/>
      <c r="BI18" s="8"/>
      <c r="BJ18" s="145"/>
      <c r="BK18" s="145"/>
      <c r="BL18" s="145"/>
    </row>
    <row r="19" ht="17.45" customHeight="1">
      <c r="A19" t="s" s="250">
        <v>1944</v>
      </c>
      <c r="B19" s="344">
        <v>0</v>
      </c>
      <c r="C19" s="346"/>
      <c r="D19" s="346"/>
      <c r="E19" s="346"/>
      <c r="F19" s="346"/>
      <c r="G19" s="346"/>
      <c r="H19" s="346"/>
      <c r="I19" s="346"/>
      <c r="J19" s="346"/>
      <c r="K19" s="346"/>
      <c r="L19" s="251"/>
      <c r="M19" s="346"/>
      <c r="N19" s="346"/>
      <c r="O19" s="346"/>
      <c r="P19" s="346"/>
      <c r="Q19" s="251"/>
      <c r="R19" s="251"/>
      <c r="S19" s="251"/>
      <c r="T19" s="251"/>
      <c r="U19" s="251"/>
      <c r="V19" s="251"/>
      <c r="W19" s="251"/>
      <c r="X19" s="251"/>
      <c r="Y19" s="251"/>
      <c r="Z19" s="251"/>
      <c r="AA19" s="251"/>
      <c r="AB19" s="251"/>
      <c r="AC19" s="25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251"/>
      <c r="BB19" s="251"/>
      <c r="BC19" s="251"/>
      <c r="BD19" s="251"/>
      <c r="BE19" s="251"/>
      <c r="BF19" s="251"/>
      <c r="BG19" s="253">
        <f>SUM(C19:BF19)</f>
        <v>0</v>
      </c>
      <c r="BH19" s="252"/>
      <c r="BI19" s="8"/>
      <c r="BJ19" s="145"/>
      <c r="BK19" s="145"/>
      <c r="BL19" s="145"/>
    </row>
    <row r="20" ht="17.45" customHeight="1">
      <c r="A20" t="s" s="250">
        <v>1945</v>
      </c>
      <c r="B20" s="344">
        <f>'Kenilworthrd p 259'!Z30-'Kenilworthrd p 259'!P30</f>
        <v>4</v>
      </c>
      <c r="C20" s="346"/>
      <c r="D20" s="346"/>
      <c r="E20" s="346"/>
      <c r="F20" s="346"/>
      <c r="G20" s="346"/>
      <c r="H20" s="346"/>
      <c r="I20" s="346"/>
      <c r="J20" s="346"/>
      <c r="K20" s="346"/>
      <c r="L20" s="251"/>
      <c r="M20" s="346"/>
      <c r="N20" s="346"/>
      <c r="O20" s="346"/>
      <c r="P20" s="346"/>
      <c r="Q20" s="251"/>
      <c r="R20" s="251"/>
      <c r="S20" s="251"/>
      <c r="T20" s="251"/>
      <c r="U20" s="251"/>
      <c r="V20" s="251"/>
      <c r="W20" s="251"/>
      <c r="X20" s="251"/>
      <c r="Y20" s="251"/>
      <c r="Z20" s="251"/>
      <c r="AA20" s="251"/>
      <c r="AB20" s="251"/>
      <c r="AC20" s="251"/>
      <c r="AD20" s="251"/>
      <c r="AE20" s="251"/>
      <c r="AF20" s="251"/>
      <c r="AG20" s="251"/>
      <c r="AH20" s="251"/>
      <c r="AI20" s="251"/>
      <c r="AJ20" s="251"/>
      <c r="AK20" s="253">
        <v>3</v>
      </c>
      <c r="AL20" s="251"/>
      <c r="AM20" s="251"/>
      <c r="AN20" s="253">
        <v>1</v>
      </c>
      <c r="AO20" s="251"/>
      <c r="AP20" s="251"/>
      <c r="AQ20" s="251"/>
      <c r="AR20" s="251"/>
      <c r="AS20" s="251"/>
      <c r="AT20" s="251"/>
      <c r="AU20" s="251"/>
      <c r="AV20" s="251"/>
      <c r="AW20" s="251"/>
      <c r="AX20" s="251"/>
      <c r="AY20" s="251"/>
      <c r="AZ20" s="251"/>
      <c r="BA20" s="251"/>
      <c r="BB20" s="251"/>
      <c r="BC20" s="251"/>
      <c r="BD20" s="251"/>
      <c r="BE20" s="251"/>
      <c r="BF20" s="251"/>
      <c r="BG20" s="253">
        <f>SUM(C20:BF20)</f>
        <v>4</v>
      </c>
      <c r="BH20" s="252"/>
      <c r="BI20" s="8"/>
      <c r="BJ20" s="145"/>
      <c r="BK20" s="145"/>
      <c r="BL20" s="145"/>
    </row>
    <row r="21" ht="17.45" customHeight="1">
      <c r="A21" t="s" s="250">
        <v>1946</v>
      </c>
      <c r="B21" s="344">
        <f>'fishpond drive p 286 418'!Z23-'fishpond drive p 286 418'!P23</f>
        <v>6</v>
      </c>
      <c r="C21" s="346"/>
      <c r="D21" s="346"/>
      <c r="E21" s="347">
        <v>1</v>
      </c>
      <c r="F21" s="346"/>
      <c r="G21" s="346"/>
      <c r="H21" s="346"/>
      <c r="I21" s="346"/>
      <c r="J21" s="346"/>
      <c r="K21" s="346"/>
      <c r="L21" s="251"/>
      <c r="M21" s="346"/>
      <c r="N21" s="346"/>
      <c r="O21" s="346"/>
      <c r="P21" s="346"/>
      <c r="Q21" s="251"/>
      <c r="R21" s="253">
        <v>3</v>
      </c>
      <c r="S21" s="251"/>
      <c r="T21" s="251"/>
      <c r="U21" s="251"/>
      <c r="V21" s="251"/>
      <c r="W21" s="251"/>
      <c r="X21" s="253">
        <v>1</v>
      </c>
      <c r="Y21" s="251"/>
      <c r="Z21" s="251"/>
      <c r="AA21" s="251"/>
      <c r="AB21" s="251"/>
      <c r="AC21" s="251"/>
      <c r="AD21" s="251"/>
      <c r="AE21" s="251"/>
      <c r="AF21" s="251"/>
      <c r="AG21" s="251"/>
      <c r="AH21" s="251"/>
      <c r="AI21" s="251"/>
      <c r="AJ21" s="251"/>
      <c r="AK21" s="253">
        <v>1</v>
      </c>
      <c r="AL21" s="251"/>
      <c r="AM21" s="251"/>
      <c r="AN21" s="251"/>
      <c r="AO21" s="251"/>
      <c r="AP21" s="251"/>
      <c r="AQ21" s="251"/>
      <c r="AR21" s="251"/>
      <c r="AS21" s="251"/>
      <c r="AT21" s="251"/>
      <c r="AU21" s="251"/>
      <c r="AV21" s="251"/>
      <c r="AW21" s="251"/>
      <c r="AX21" s="251"/>
      <c r="AY21" s="251"/>
      <c r="AZ21" s="251"/>
      <c r="BA21" s="251"/>
      <c r="BB21" s="251"/>
      <c r="BC21" s="251"/>
      <c r="BD21" s="251"/>
      <c r="BE21" s="251"/>
      <c r="BF21" s="251"/>
      <c r="BG21" s="253">
        <f>SUM(C21:BF21)</f>
        <v>6</v>
      </c>
      <c r="BH21" s="252"/>
      <c r="BI21" s="8"/>
      <c r="BJ21" s="145"/>
      <c r="BK21" s="145"/>
      <c r="BL21" s="145"/>
    </row>
    <row r="22" ht="17.45" customHeight="1">
      <c r="A22" t="s" s="250">
        <v>1947</v>
      </c>
      <c r="B22" s="344">
        <f>'Hope Drive p.376'!Z103-'Hope Drive p.376'!P103</f>
        <v>43</v>
      </c>
      <c r="C22" s="346"/>
      <c r="D22" s="346"/>
      <c r="E22" s="347">
        <v>1</v>
      </c>
      <c r="F22" s="346"/>
      <c r="G22" s="347">
        <v>1</v>
      </c>
      <c r="H22" s="346"/>
      <c r="I22" s="346"/>
      <c r="J22" s="347">
        <v>1</v>
      </c>
      <c r="K22" s="347">
        <v>1</v>
      </c>
      <c r="L22" s="253">
        <v>1</v>
      </c>
      <c r="M22" s="347">
        <v>1</v>
      </c>
      <c r="N22" s="346"/>
      <c r="O22" s="346"/>
      <c r="P22" s="346"/>
      <c r="Q22" s="253">
        <v>1</v>
      </c>
      <c r="R22" s="253">
        <v>8</v>
      </c>
      <c r="S22" s="251"/>
      <c r="T22" s="251"/>
      <c r="U22" s="251"/>
      <c r="V22" s="251"/>
      <c r="W22" s="253">
        <v>2</v>
      </c>
      <c r="X22" s="251"/>
      <c r="Y22" s="253">
        <v>1</v>
      </c>
      <c r="Z22" s="253">
        <v>1</v>
      </c>
      <c r="AA22" s="251"/>
      <c r="AB22" s="253">
        <v>2</v>
      </c>
      <c r="AC22" s="251"/>
      <c r="AD22" s="251"/>
      <c r="AE22" s="251"/>
      <c r="AF22" s="251"/>
      <c r="AG22" s="251"/>
      <c r="AH22" s="251"/>
      <c r="AI22" s="253">
        <v>2</v>
      </c>
      <c r="AJ22" s="253">
        <v>1</v>
      </c>
      <c r="AK22" s="253">
        <v>6</v>
      </c>
      <c r="AL22" s="253">
        <v>1</v>
      </c>
      <c r="AM22" s="251"/>
      <c r="AN22" s="253">
        <v>1</v>
      </c>
      <c r="AO22" s="251"/>
      <c r="AP22" s="253">
        <v>1</v>
      </c>
      <c r="AQ22" s="251"/>
      <c r="AR22" s="251"/>
      <c r="AS22" s="251"/>
      <c r="AT22" s="251"/>
      <c r="AU22" s="251"/>
      <c r="AV22" s="251"/>
      <c r="AW22" s="251"/>
      <c r="AX22" s="251"/>
      <c r="AY22" s="251"/>
      <c r="AZ22" s="253">
        <v>1</v>
      </c>
      <c r="BA22" s="253">
        <v>2</v>
      </c>
      <c r="BB22" s="251"/>
      <c r="BC22" s="253">
        <v>3</v>
      </c>
      <c r="BD22" s="251"/>
      <c r="BE22" s="253">
        <v>2</v>
      </c>
      <c r="BF22" s="251"/>
      <c r="BG22" s="253">
        <f>SUM(C22:BF22)</f>
        <v>41</v>
      </c>
      <c r="BH22" s="252"/>
      <c r="BI22" s="8"/>
      <c r="BJ22" s="145"/>
      <c r="BK22" s="145"/>
      <c r="BL22" s="145"/>
    </row>
    <row r="23" ht="17" customHeight="1">
      <c r="A23" t="s" s="250">
        <v>285</v>
      </c>
      <c r="B23" s="253">
        <f>SUM(B2:B22)</f>
        <v>225</v>
      </c>
      <c r="C23" s="253">
        <f>SUM(C2:C22)</f>
        <v>4</v>
      </c>
      <c r="D23" s="253">
        <f>SUM(D2:D22)</f>
        <v>4</v>
      </c>
      <c r="E23" s="253">
        <f>SUM(E2:E22)</f>
        <v>6</v>
      </c>
      <c r="F23" s="253">
        <f>SUM(F2:F22)</f>
        <v>1</v>
      </c>
      <c r="G23" s="253">
        <f>SUM(G2:G22)</f>
        <v>3</v>
      </c>
      <c r="H23" s="253">
        <f>SUM(H2:H22)</f>
        <v>1</v>
      </c>
      <c r="I23" s="253">
        <f>SUM(I2:I22)</f>
        <v>3</v>
      </c>
      <c r="J23" s="253">
        <f>SUM(J2:J22)</f>
        <v>4</v>
      </c>
      <c r="K23" s="253">
        <f>SUM(K2:K22)</f>
        <v>1</v>
      </c>
      <c r="L23" s="253">
        <f>SUM(L2:L22)</f>
        <v>7</v>
      </c>
      <c r="M23" s="253">
        <f>SUM(M2:M22)</f>
        <v>1</v>
      </c>
      <c r="N23" s="253">
        <f>SUM(N2:N22)</f>
        <v>0</v>
      </c>
      <c r="O23" s="253">
        <f>SUM(O2:O22)</f>
        <v>0</v>
      </c>
      <c r="P23" s="253">
        <f>SUM(P2:P22)</f>
        <v>1</v>
      </c>
      <c r="Q23" s="253">
        <f>SUM(Q2:Q22)</f>
        <v>1</v>
      </c>
      <c r="R23" s="253">
        <f>SUM(R2:R22)</f>
        <v>16</v>
      </c>
      <c r="S23" s="253">
        <f>SUM(S2:S22)</f>
        <v>3</v>
      </c>
      <c r="T23" s="253">
        <f>SUM(T2:T22)</f>
        <v>1</v>
      </c>
      <c r="U23" s="253">
        <f>SUM(U2:U22)</f>
        <v>8</v>
      </c>
      <c r="V23" s="253">
        <f>SUM(V2:V22)</f>
        <v>7</v>
      </c>
      <c r="W23" s="253">
        <f>SUM(W2:W22)</f>
        <v>4</v>
      </c>
      <c r="X23" s="253">
        <f>SUM(X2:X22)</f>
        <v>1</v>
      </c>
      <c r="Y23" s="253">
        <f>SUM(Y2:Y22)</f>
        <v>1</v>
      </c>
      <c r="Z23" s="251"/>
      <c r="AA23" s="253">
        <f>SUM(AA2:AA22)</f>
        <v>2</v>
      </c>
      <c r="AB23" s="253">
        <f>SUM(AB2:AB22)</f>
        <v>10</v>
      </c>
      <c r="AC23" s="253">
        <f>SUM(AC2:AC22)</f>
        <v>1</v>
      </c>
      <c r="AD23" s="253">
        <f>SUM(AD2:AD22)</f>
        <v>1</v>
      </c>
      <c r="AE23" s="253">
        <f>SUM(AE2:AE22)</f>
        <v>1</v>
      </c>
      <c r="AF23" s="253">
        <f>SUM(AF2:AF22)</f>
        <v>5</v>
      </c>
      <c r="AG23" s="253">
        <f>SUM(AG2:AG22)</f>
        <v>1</v>
      </c>
      <c r="AH23" s="253">
        <f>SUM(AH2:AH22)</f>
        <v>2</v>
      </c>
      <c r="AI23" s="253">
        <f>SUM(AI2:AI22)</f>
        <v>5</v>
      </c>
      <c r="AJ23" s="253">
        <f>SUM(AJ2:AJ22)</f>
        <v>4</v>
      </c>
      <c r="AK23" s="253">
        <f>SUM(AK2:AK22)</f>
        <v>39</v>
      </c>
      <c r="AL23" s="251"/>
      <c r="AM23" s="253">
        <f>SUM(AM2:AM22)</f>
        <v>1</v>
      </c>
      <c r="AN23" s="253">
        <f>SUM(AN2:AN22)</f>
        <v>13</v>
      </c>
      <c r="AO23" s="253">
        <f>SUM(AO2:AO22)</f>
        <v>4</v>
      </c>
      <c r="AP23" s="253">
        <f>SUM(AP2:AP22)</f>
        <v>2</v>
      </c>
      <c r="AQ23" s="253">
        <f>SUM(AQ2:AQ22)</f>
        <v>1</v>
      </c>
      <c r="AR23" s="253">
        <f>SUM(AR2:AR22)</f>
        <v>1</v>
      </c>
      <c r="AS23" s="253">
        <f>SUM(AS2:AS22)</f>
        <v>1</v>
      </c>
      <c r="AT23" s="253">
        <f>SUM(AT2:AT22)</f>
        <v>1</v>
      </c>
      <c r="AU23" s="253">
        <f>SUM(AU2:AU22)</f>
        <v>2</v>
      </c>
      <c r="AV23" s="253">
        <f>SUM(AV2:AV22)</f>
        <v>1</v>
      </c>
      <c r="AW23" s="253">
        <f>SUM(AW2:AW22)</f>
        <v>2</v>
      </c>
      <c r="AX23" s="253">
        <f>SUM(AX2:AX22)</f>
        <v>5</v>
      </c>
      <c r="AY23" s="253">
        <f>SUM(AY2:AY22)</f>
        <v>19</v>
      </c>
      <c r="AZ23" s="251"/>
      <c r="BA23" s="253">
        <f>SUM(BA2:BA22)</f>
        <v>8</v>
      </c>
      <c r="BB23" s="253">
        <f>SUM(BB2:BB22)</f>
        <v>3</v>
      </c>
      <c r="BC23" s="251"/>
      <c r="BD23" s="253">
        <f>SUM(BD2:BD22)</f>
        <v>1</v>
      </c>
      <c r="BE23" s="251"/>
      <c r="BF23" s="253">
        <f>SUM(BF2:BF22)</f>
        <v>1</v>
      </c>
      <c r="BG23" s="253">
        <f>SUM(BG2:BG21)</f>
        <v>182</v>
      </c>
      <c r="BH23" s="252"/>
      <c r="BI23" s="8"/>
      <c r="BJ23" s="8"/>
      <c r="BK23" s="8"/>
      <c r="BL23" s="8"/>
    </row>
    <row r="24" ht="17.45" customHeight="1">
      <c r="A24" s="349"/>
      <c r="B24" s="267"/>
      <c r="C24" s="267"/>
      <c r="D24" s="267"/>
      <c r="E24" s="267"/>
      <c r="F24" s="267"/>
      <c r="G24" s="267"/>
      <c r="H24" s="267"/>
      <c r="I24" s="267"/>
      <c r="J24" s="267"/>
      <c r="K24" s="267"/>
      <c r="L24" s="349"/>
      <c r="M24" s="267"/>
      <c r="N24" s="267"/>
      <c r="O24" s="267"/>
      <c r="P24" s="262"/>
      <c r="Q24" s="267"/>
      <c r="R24" s="267"/>
      <c r="S24" s="349"/>
      <c r="T24" s="267"/>
      <c r="U24" s="349"/>
      <c r="V24" s="349"/>
      <c r="W24" s="349"/>
      <c r="X24" s="350"/>
      <c r="Y24" s="350"/>
      <c r="Z24" s="350"/>
      <c r="AA24" s="350"/>
      <c r="AB24" s="349"/>
      <c r="AC24" s="350"/>
      <c r="AD24" s="349"/>
      <c r="AE24" s="350"/>
      <c r="AF24" s="350"/>
      <c r="AG24" s="350"/>
      <c r="AH24" s="350"/>
      <c r="AI24" s="350"/>
      <c r="AJ24" s="350"/>
      <c r="AK24" s="350"/>
      <c r="AL24" s="350"/>
      <c r="AM24" s="350"/>
      <c r="AN24" s="350"/>
      <c r="AO24" s="350"/>
      <c r="AP24" s="350"/>
      <c r="AQ24" s="350"/>
      <c r="AR24" s="350"/>
      <c r="AS24" s="350"/>
      <c r="AT24" s="350"/>
      <c r="AU24" s="281"/>
      <c r="AV24" s="281"/>
      <c r="AW24" s="262"/>
      <c r="AX24" s="262"/>
      <c r="AY24" s="262"/>
      <c r="AZ24" s="262"/>
      <c r="BA24" s="267"/>
      <c r="BB24" s="281"/>
      <c r="BC24" s="281"/>
      <c r="BD24" s="281"/>
      <c r="BE24" s="281"/>
      <c r="BF24" s="262"/>
      <c r="BG24" s="351"/>
      <c r="BH24" s="36"/>
      <c r="BI24" s="36"/>
      <c r="BJ24" s="8"/>
      <c r="BK24" s="8"/>
      <c r="BL24" s="8"/>
    </row>
    <row r="25" ht="85" customHeight="1">
      <c r="A25" s="251"/>
      <c r="B25" t="s" s="176">
        <v>1994</v>
      </c>
      <c r="C25" t="s" s="176">
        <v>776</v>
      </c>
      <c r="D25" t="s" s="176">
        <v>770</v>
      </c>
      <c r="E25" t="s" s="176">
        <v>1995</v>
      </c>
      <c r="F25" t="s" s="250">
        <v>159</v>
      </c>
      <c r="G25" t="s" s="176">
        <v>1996</v>
      </c>
      <c r="H25" t="s" s="250">
        <v>197</v>
      </c>
      <c r="I25" t="s" s="250">
        <v>830</v>
      </c>
      <c r="J25" t="s" s="176">
        <v>1997</v>
      </c>
      <c r="K25" s="98"/>
      <c r="L25" t="s" s="250">
        <v>1531</v>
      </c>
      <c r="M25" t="s" s="250">
        <v>1998</v>
      </c>
      <c r="N25" t="s" s="250">
        <v>1999</v>
      </c>
      <c r="O25" t="s" s="250">
        <v>2000</v>
      </c>
      <c r="P25" s="352"/>
      <c r="Q25" t="s" s="250">
        <v>2001</v>
      </c>
      <c r="R25" t="s" s="250">
        <v>2002</v>
      </c>
      <c r="S25" t="s" s="250">
        <v>2003</v>
      </c>
      <c r="T25" t="s" s="250">
        <v>113</v>
      </c>
      <c r="U25" t="s" s="250">
        <v>2004</v>
      </c>
      <c r="V25" t="s" s="250">
        <v>372</v>
      </c>
      <c r="W25" t="s" s="250">
        <v>2005</v>
      </c>
      <c r="X25" s="252"/>
      <c r="Y25" s="8"/>
      <c r="Z25" s="8"/>
      <c r="AA25" s="353"/>
      <c r="AB25" s="254"/>
      <c r="AC25" s="354"/>
      <c r="AD25" s="251"/>
      <c r="AE25" s="252"/>
      <c r="AF25" s="8"/>
      <c r="AG25" s="8"/>
      <c r="AH25" s="8"/>
      <c r="AI25" s="8"/>
      <c r="AJ25" s="8"/>
      <c r="AK25" s="36"/>
      <c r="AL25" s="36"/>
      <c r="AM25" s="8"/>
      <c r="AN25" s="8"/>
      <c r="AO25" s="8"/>
      <c r="AP25" s="8"/>
      <c r="AQ25" s="8"/>
      <c r="AR25" s="8"/>
      <c r="AS25" s="8"/>
      <c r="AT25" s="8"/>
      <c r="AU25" s="8"/>
      <c r="AV25" s="8"/>
      <c r="AW25" s="8"/>
      <c r="AX25" s="8"/>
      <c r="AY25" s="8"/>
      <c r="AZ25" s="353"/>
      <c r="BA25" s="251"/>
      <c r="BB25" s="252"/>
      <c r="BC25" s="8"/>
      <c r="BD25" s="36"/>
      <c r="BE25" s="36"/>
      <c r="BF25" s="353"/>
      <c r="BG25" s="254"/>
      <c r="BH25" s="252"/>
      <c r="BI25" s="8"/>
      <c r="BJ25" s="8"/>
      <c r="BK25" s="8"/>
      <c r="BL25" s="8"/>
    </row>
    <row r="26" ht="17.45" customHeight="1">
      <c r="A26" t="s" s="343">
        <v>4</v>
      </c>
      <c r="B26" s="253">
        <f>'BL'!P21</f>
        <v>0</v>
      </c>
      <c r="C26" s="251"/>
      <c r="D26" s="251"/>
      <c r="E26" s="251"/>
      <c r="F26" s="251"/>
      <c r="G26" s="251"/>
      <c r="H26" s="251"/>
      <c r="I26" s="251"/>
      <c r="J26" s="251"/>
      <c r="K26" s="251"/>
      <c r="L26" s="251"/>
      <c r="M26" s="251"/>
      <c r="N26" s="251"/>
      <c r="O26" s="253">
        <f>SUM(C26:N26)</f>
        <v>0</v>
      </c>
      <c r="P26" s="254"/>
      <c r="Q26" s="253">
        <f>'BL'!F21</f>
        <v>18</v>
      </c>
      <c r="R26" s="253">
        <f>'BL'!I21</f>
        <v>2</v>
      </c>
      <c r="S26" s="253">
        <f>BG2</f>
        <v>12</v>
      </c>
      <c r="T26" s="253">
        <f>O26</f>
        <v>0</v>
      </c>
      <c r="U26" s="253">
        <v>0</v>
      </c>
      <c r="V26" s="253">
        <v>0</v>
      </c>
      <c r="W26" s="253">
        <f>Q26-R26-S26-T26-U26-V26</f>
        <v>4</v>
      </c>
      <c r="X26" s="252"/>
      <c r="Y26" s="8"/>
      <c r="Z26" s="8"/>
      <c r="AA26" s="353"/>
      <c r="AB26" s="251"/>
      <c r="AC26" s="355"/>
      <c r="AD26" s="251"/>
      <c r="AE26" s="252"/>
      <c r="AF26" s="8"/>
      <c r="AG26" s="8"/>
      <c r="AH26" s="8"/>
      <c r="AI26" s="8"/>
      <c r="AJ26" s="8"/>
      <c r="AK26" s="8"/>
      <c r="AL26" s="8"/>
      <c r="AM26" s="8"/>
      <c r="AN26" s="8"/>
      <c r="AO26" s="8"/>
      <c r="AP26" s="8"/>
      <c r="AQ26" s="8"/>
      <c r="AR26" s="8"/>
      <c r="AS26" s="8"/>
      <c r="AT26" s="8"/>
      <c r="AU26" s="8"/>
      <c r="AV26" s="8"/>
      <c r="AW26" s="8"/>
      <c r="AX26" s="8"/>
      <c r="AY26" s="8"/>
      <c r="AZ26" s="353"/>
      <c r="BA26" s="251"/>
      <c r="BB26" s="252"/>
      <c r="BC26" s="8"/>
      <c r="BD26" s="8"/>
      <c r="BE26" s="8"/>
      <c r="BF26" s="353"/>
      <c r="BG26" s="251"/>
      <c r="BH26" s="252"/>
      <c r="BI26" s="8"/>
      <c r="BJ26" s="8"/>
      <c r="BK26" s="8"/>
      <c r="BL26" s="8"/>
    </row>
    <row r="27" ht="17" customHeight="1">
      <c r="A27" t="s" s="250">
        <v>104</v>
      </c>
      <c r="B27" s="253">
        <f>'PC'!P66</f>
        <v>27</v>
      </c>
      <c r="C27" s="251"/>
      <c r="D27" s="253">
        <v>1</v>
      </c>
      <c r="E27" s="251"/>
      <c r="F27" s="253">
        <v>7</v>
      </c>
      <c r="G27" s="253">
        <v>7</v>
      </c>
      <c r="H27" s="253">
        <v>1</v>
      </c>
      <c r="I27" s="253">
        <v>1</v>
      </c>
      <c r="J27" s="253">
        <v>8</v>
      </c>
      <c r="K27" s="251"/>
      <c r="L27" s="251"/>
      <c r="M27" s="251"/>
      <c r="N27" s="253">
        <v>2</v>
      </c>
      <c r="O27" s="253">
        <f>SUM(C27:N27)</f>
        <v>27</v>
      </c>
      <c r="P27" s="251"/>
      <c r="Q27" s="253">
        <f>'PC'!G67</f>
        <v>62</v>
      </c>
      <c r="R27" s="253">
        <f>'PC'!I66</f>
        <v>2</v>
      </c>
      <c r="S27" s="253">
        <f>BG3</f>
        <v>12</v>
      </c>
      <c r="T27" s="253">
        <f>O27</f>
        <v>27</v>
      </c>
      <c r="U27" s="253">
        <v>6</v>
      </c>
      <c r="V27" s="253">
        <v>2</v>
      </c>
      <c r="W27" s="253">
        <f>Q27-R27-S27-T27-U27-V27</f>
        <v>13</v>
      </c>
      <c r="X27" s="252"/>
      <c r="Y27" s="8"/>
      <c r="Z27" s="8"/>
      <c r="AA27" s="353"/>
      <c r="AB27" s="251"/>
      <c r="AC27" s="355"/>
      <c r="AD27" s="251"/>
      <c r="AE27" s="252"/>
      <c r="AF27" s="8"/>
      <c r="AG27" s="8"/>
      <c r="AH27" s="8"/>
      <c r="AI27" s="8"/>
      <c r="AJ27" s="8"/>
      <c r="AK27" s="8"/>
      <c r="AL27" s="8"/>
      <c r="AM27" s="8"/>
      <c r="AN27" s="8"/>
      <c r="AO27" s="8"/>
      <c r="AP27" s="8"/>
      <c r="AQ27" s="8"/>
      <c r="AR27" s="8"/>
      <c r="AS27" s="8"/>
      <c r="AT27" s="8"/>
      <c r="AU27" s="8"/>
      <c r="AV27" s="8"/>
      <c r="AW27" s="8"/>
      <c r="AX27" s="8"/>
      <c r="AY27" s="8"/>
      <c r="AZ27" s="353"/>
      <c r="BA27" s="251"/>
      <c r="BB27" s="252"/>
      <c r="BC27" s="8"/>
      <c r="BD27" s="8"/>
      <c r="BE27" s="8"/>
      <c r="BF27" s="353"/>
      <c r="BG27" s="251"/>
      <c r="BH27" s="252"/>
      <c r="BI27" s="8"/>
      <c r="BJ27" s="8"/>
      <c r="BK27" s="8"/>
      <c r="BL27" s="8"/>
    </row>
    <row r="28" ht="17" customHeight="1">
      <c r="A28" t="s" s="250">
        <v>1921</v>
      </c>
      <c r="B28" s="253">
        <f>'WesternTerrace'!P31</f>
        <v>13</v>
      </c>
      <c r="C28" s="251"/>
      <c r="D28" s="251"/>
      <c r="E28" s="251"/>
      <c r="F28" s="253">
        <v>3</v>
      </c>
      <c r="G28" s="253">
        <v>3</v>
      </c>
      <c r="H28" s="251"/>
      <c r="I28" s="251"/>
      <c r="J28" s="253">
        <v>4</v>
      </c>
      <c r="K28" s="251"/>
      <c r="L28" s="253">
        <v>1</v>
      </c>
      <c r="M28" s="253">
        <v>1</v>
      </c>
      <c r="N28" s="253">
        <v>1</v>
      </c>
      <c r="O28" s="253">
        <f>SUM(C28:N28)</f>
        <v>13</v>
      </c>
      <c r="P28" s="251"/>
      <c r="Q28" s="253">
        <f>'WesternTerrace'!F31</f>
        <v>28</v>
      </c>
      <c r="R28" s="253">
        <f>'WesternTerrace'!I31</f>
        <v>0</v>
      </c>
      <c r="S28" s="253">
        <f>BG4</f>
        <v>10</v>
      </c>
      <c r="T28" s="253">
        <f>O28</f>
        <v>13</v>
      </c>
      <c r="U28" s="253">
        <v>1</v>
      </c>
      <c r="V28" s="253">
        <v>0</v>
      </c>
      <c r="W28" s="253">
        <f>Q28-R28-S28-T28-U28-V28</f>
        <v>4</v>
      </c>
      <c r="X28" s="252"/>
      <c r="Y28" s="8"/>
      <c r="Z28" s="8"/>
      <c r="AA28" s="353"/>
      <c r="AB28" s="251"/>
      <c r="AC28" s="355"/>
      <c r="AD28" s="251"/>
      <c r="AE28" s="252"/>
      <c r="AF28" s="8"/>
      <c r="AG28" s="8"/>
      <c r="AH28" s="8"/>
      <c r="AI28" s="8"/>
      <c r="AJ28" s="8"/>
      <c r="AK28" s="8"/>
      <c r="AL28" s="8"/>
      <c r="AM28" s="8"/>
      <c r="AN28" s="8"/>
      <c r="AO28" s="8"/>
      <c r="AP28" s="8"/>
      <c r="AQ28" s="8"/>
      <c r="AR28" s="8"/>
      <c r="AS28" s="8"/>
      <c r="AT28" s="8"/>
      <c r="AU28" s="8"/>
      <c r="AV28" s="8"/>
      <c r="AW28" s="8"/>
      <c r="AX28" s="8"/>
      <c r="AY28" s="8"/>
      <c r="AZ28" s="353"/>
      <c r="BA28" s="251"/>
      <c r="BB28" s="252"/>
      <c r="BC28" s="8"/>
      <c r="BD28" s="8"/>
      <c r="BE28" s="8"/>
      <c r="BF28" s="353"/>
      <c r="BG28" s="251"/>
      <c r="BH28" s="252"/>
      <c r="BI28" s="8"/>
      <c r="BJ28" s="8"/>
      <c r="BK28" s="8"/>
      <c r="BL28" s="8"/>
    </row>
    <row r="29" ht="17" customHeight="1">
      <c r="A29" t="s" s="250">
        <v>1923</v>
      </c>
      <c r="B29" s="253">
        <f>'North Rd'!P13</f>
        <v>3</v>
      </c>
      <c r="C29" s="251"/>
      <c r="D29" s="251"/>
      <c r="E29" s="251"/>
      <c r="F29" s="253">
        <v>1</v>
      </c>
      <c r="G29" s="251"/>
      <c r="H29" s="251"/>
      <c r="I29" s="251"/>
      <c r="J29" s="253">
        <v>1</v>
      </c>
      <c r="K29" s="251"/>
      <c r="L29" s="251"/>
      <c r="M29" s="251"/>
      <c r="N29" s="253">
        <v>1</v>
      </c>
      <c r="O29" s="253">
        <f>SUM(C29:N29)</f>
        <v>3</v>
      </c>
      <c r="P29" s="251"/>
      <c r="Q29" s="253">
        <f>'North Rd'!G14</f>
        <v>10</v>
      </c>
      <c r="R29" s="253">
        <f>'North Rd'!I13</f>
        <v>0</v>
      </c>
      <c r="S29" s="253">
        <f>BG5</f>
        <v>3</v>
      </c>
      <c r="T29" s="253">
        <f>O29</f>
        <v>3</v>
      </c>
      <c r="U29" s="251"/>
      <c r="V29" s="251"/>
      <c r="W29" s="253">
        <f>Q29-R29-S29-T29-U29-V29</f>
        <v>4</v>
      </c>
      <c r="X29" s="252"/>
      <c r="Y29" s="8"/>
      <c r="Z29" s="8"/>
      <c r="AA29" s="353"/>
      <c r="AB29" s="251"/>
      <c r="AC29" s="355"/>
      <c r="AD29" s="251"/>
      <c r="AE29" s="252"/>
      <c r="AF29" s="8"/>
      <c r="AG29" s="8"/>
      <c r="AH29" s="8"/>
      <c r="AI29" s="8"/>
      <c r="AJ29" s="8"/>
      <c r="AK29" s="8"/>
      <c r="AL29" s="8"/>
      <c r="AM29" s="8"/>
      <c r="AN29" s="8"/>
      <c r="AO29" s="8"/>
      <c r="AP29" s="8"/>
      <c r="AQ29" s="8"/>
      <c r="AR29" s="8"/>
      <c r="AS29" s="8"/>
      <c r="AT29" s="8"/>
      <c r="AU29" s="8"/>
      <c r="AV29" s="8"/>
      <c r="AW29" s="8"/>
      <c r="AX29" s="8"/>
      <c r="AY29" s="8"/>
      <c r="AZ29" s="353"/>
      <c r="BA29" s="251"/>
      <c r="BB29" s="252"/>
      <c r="BC29" s="8"/>
      <c r="BD29" s="8"/>
      <c r="BE29" s="8"/>
      <c r="BF29" s="353"/>
      <c r="BG29" s="251"/>
      <c r="BH29" s="252"/>
      <c r="BI29" s="8"/>
      <c r="BJ29" s="8"/>
      <c r="BK29" s="8"/>
      <c r="BL29" s="8"/>
    </row>
    <row r="30" ht="17" customHeight="1">
      <c r="A30" t="s" s="250">
        <v>1924</v>
      </c>
      <c r="B30" s="253">
        <f>'Lincoln Circus'!P13</f>
        <v>3</v>
      </c>
      <c r="C30" s="251"/>
      <c r="D30" s="251"/>
      <c r="E30" s="251"/>
      <c r="F30" s="253">
        <v>1</v>
      </c>
      <c r="G30" s="251"/>
      <c r="H30" s="251"/>
      <c r="I30" s="251"/>
      <c r="J30" s="253">
        <v>1</v>
      </c>
      <c r="K30" s="251"/>
      <c r="L30" s="251"/>
      <c r="M30" s="251"/>
      <c r="N30" s="253">
        <v>1</v>
      </c>
      <c r="O30" s="253">
        <f>SUM(C30:N30)</f>
        <v>3</v>
      </c>
      <c r="P30" s="251"/>
      <c r="Q30" s="253">
        <f>'Lincoln Circus'!F13</f>
        <v>10</v>
      </c>
      <c r="R30" s="253">
        <f>'Lincoln Circus'!I13+'Lincoln Circus'!J13</f>
        <v>0</v>
      </c>
      <c r="S30" s="253">
        <f>BG6</f>
        <v>6</v>
      </c>
      <c r="T30" s="253">
        <f>B30</f>
        <v>3</v>
      </c>
      <c r="U30" s="251"/>
      <c r="V30" s="251"/>
      <c r="W30" s="253">
        <f>Q30-R30-S30-T30-U30-V30</f>
        <v>1</v>
      </c>
      <c r="X30" s="252"/>
      <c r="Y30" s="8"/>
      <c r="Z30" s="8"/>
      <c r="AA30" s="353"/>
      <c r="AB30" s="251"/>
      <c r="AC30" s="355"/>
      <c r="AD30" s="251"/>
      <c r="AE30" s="252"/>
      <c r="AF30" s="8"/>
      <c r="AG30" s="8"/>
      <c r="AH30" s="8"/>
      <c r="AI30" s="8"/>
      <c r="AJ30" s="8"/>
      <c r="AK30" s="8"/>
      <c r="AL30" s="8"/>
      <c r="AM30" s="8"/>
      <c r="AN30" s="8"/>
      <c r="AO30" s="8"/>
      <c r="AP30" s="8"/>
      <c r="AQ30" s="8"/>
      <c r="AR30" s="8"/>
      <c r="AS30" s="8"/>
      <c r="AT30" s="8"/>
      <c r="AU30" s="8"/>
      <c r="AV30" s="8"/>
      <c r="AW30" s="8"/>
      <c r="AX30" s="8"/>
      <c r="AY30" s="8"/>
      <c r="AZ30" s="353"/>
      <c r="BA30" s="251"/>
      <c r="BB30" s="252"/>
      <c r="BC30" s="8"/>
      <c r="BD30" s="8"/>
      <c r="BE30" s="8"/>
      <c r="BF30" s="353"/>
      <c r="BG30" s="251"/>
      <c r="BH30" s="252"/>
      <c r="BI30" s="8"/>
      <c r="BJ30" s="8"/>
      <c r="BK30" s="8"/>
      <c r="BL30" s="8"/>
    </row>
    <row r="31" ht="17" customHeight="1">
      <c r="A31" t="s" s="250">
        <v>1925</v>
      </c>
      <c r="B31" s="253">
        <f>'newcastlecircus'!P28</f>
        <v>16</v>
      </c>
      <c r="C31" s="251"/>
      <c r="D31" s="251"/>
      <c r="E31" s="251"/>
      <c r="F31" s="253">
        <v>2</v>
      </c>
      <c r="G31" s="253">
        <v>6</v>
      </c>
      <c r="H31" s="253">
        <v>1</v>
      </c>
      <c r="I31" s="251"/>
      <c r="J31" s="253">
        <v>4</v>
      </c>
      <c r="K31" s="251"/>
      <c r="L31" s="253">
        <v>1</v>
      </c>
      <c r="M31" s="251"/>
      <c r="N31" s="253">
        <v>2</v>
      </c>
      <c r="O31" s="253">
        <f>SUM(C31:N31)</f>
        <v>16</v>
      </c>
      <c r="P31" s="251"/>
      <c r="Q31" s="253">
        <f>'newcastlecircus'!F28</f>
        <v>25</v>
      </c>
      <c r="R31" s="253">
        <f>'newcastlecircus'!I28+'newcastlecircus'!J28</f>
        <v>0</v>
      </c>
      <c r="S31" s="253">
        <f>B7</f>
        <v>5</v>
      </c>
      <c r="T31" s="253">
        <f>'newcastlecircus'!P28</f>
        <v>16</v>
      </c>
      <c r="U31" s="253">
        <v>1</v>
      </c>
      <c r="V31" s="251"/>
      <c r="W31" s="253">
        <f>Q31-R31-S31-T31-U31-V31</f>
        <v>3</v>
      </c>
      <c r="X31" s="252"/>
      <c r="Y31" s="8"/>
      <c r="Z31" s="8"/>
      <c r="AA31" s="353"/>
      <c r="AB31" s="251"/>
      <c r="AC31" s="355"/>
      <c r="AD31" s="251"/>
      <c r="AE31" s="252"/>
      <c r="AF31" s="8"/>
      <c r="AG31" s="8"/>
      <c r="AH31" s="8"/>
      <c r="AI31" s="8"/>
      <c r="AJ31" s="8"/>
      <c r="AK31" s="8"/>
      <c r="AL31" s="8"/>
      <c r="AM31" s="8"/>
      <c r="AN31" s="8"/>
      <c r="AO31" s="8"/>
      <c r="AP31" s="8"/>
      <c r="AQ31" s="8"/>
      <c r="AR31" s="8"/>
      <c r="AS31" s="8"/>
      <c r="AT31" s="8"/>
      <c r="AU31" s="8"/>
      <c r="AV31" s="8"/>
      <c r="AW31" s="8"/>
      <c r="AX31" s="8"/>
      <c r="AY31" s="8"/>
      <c r="AZ31" s="353"/>
      <c r="BA31" s="251"/>
      <c r="BB31" s="252"/>
      <c r="BC31" s="8"/>
      <c r="BD31" s="8"/>
      <c r="BE31" s="8"/>
      <c r="BF31" s="353"/>
      <c r="BG31" s="251"/>
      <c r="BH31" s="252"/>
      <c r="BI31" s="8"/>
      <c r="BJ31" s="8"/>
      <c r="BK31" s="8"/>
      <c r="BL31" s="8"/>
    </row>
    <row r="32" ht="17.45" customHeight="1">
      <c r="A32" t="s" s="250">
        <v>1927</v>
      </c>
      <c r="B32" s="253">
        <f>'Park Drive'!P22</f>
        <v>10</v>
      </c>
      <c r="C32" s="251"/>
      <c r="D32" s="251"/>
      <c r="E32" s="251"/>
      <c r="F32" s="253">
        <v>2</v>
      </c>
      <c r="G32" s="253">
        <v>4</v>
      </c>
      <c r="H32" s="251"/>
      <c r="I32" s="251"/>
      <c r="J32" s="253">
        <v>2</v>
      </c>
      <c r="K32" s="251"/>
      <c r="L32" s="253">
        <v>1</v>
      </c>
      <c r="M32" s="251"/>
      <c r="N32" s="253">
        <v>1</v>
      </c>
      <c r="O32" s="253">
        <f>SUM(C32:N32)</f>
        <v>10</v>
      </c>
      <c r="P32" s="251"/>
      <c r="Q32" s="253">
        <f>'Park Drive'!F22</f>
        <v>19</v>
      </c>
      <c r="R32" s="253">
        <f>'newcastlecircus'!I28+'newcastlecircus'!J28</f>
        <v>0</v>
      </c>
      <c r="S32" s="253">
        <f>B8</f>
        <v>4</v>
      </c>
      <c r="T32" s="253">
        <f>B32</f>
        <v>10</v>
      </c>
      <c r="U32" s="251"/>
      <c r="V32" s="251"/>
      <c r="W32" s="253">
        <f>Q32-R32-S32-T32-U32-V32</f>
        <v>5</v>
      </c>
      <c r="X32" s="252"/>
      <c r="Y32" s="8"/>
      <c r="Z32" s="8"/>
      <c r="AA32" s="353"/>
      <c r="AB32" s="251"/>
      <c r="AC32" s="354"/>
      <c r="AD32" s="251"/>
      <c r="AE32" s="252"/>
      <c r="AF32" s="8"/>
      <c r="AG32" s="8"/>
      <c r="AH32" s="8"/>
      <c r="AI32" s="8"/>
      <c r="AJ32" s="8"/>
      <c r="AK32" s="8"/>
      <c r="AL32" s="8"/>
      <c r="AM32" s="8"/>
      <c r="AN32" s="8"/>
      <c r="AO32" s="8"/>
      <c r="AP32" s="8"/>
      <c r="AQ32" s="8"/>
      <c r="AR32" s="8"/>
      <c r="AS32" s="8"/>
      <c r="AT32" s="8"/>
      <c r="AU32" s="8"/>
      <c r="AV32" s="8"/>
      <c r="AW32" s="8"/>
      <c r="AX32" s="8"/>
      <c r="AY32" s="8"/>
      <c r="AZ32" s="353"/>
      <c r="BA32" s="251"/>
      <c r="BB32" s="252"/>
      <c r="BC32" s="8"/>
      <c r="BD32" s="8"/>
      <c r="BE32" s="8"/>
      <c r="BF32" s="353"/>
      <c r="BG32" s="251"/>
      <c r="BH32" s="252"/>
      <c r="BI32" s="8"/>
      <c r="BJ32" s="8"/>
      <c r="BK32" s="8"/>
      <c r="BL32" s="8"/>
    </row>
    <row r="33" ht="17.45" customHeight="1">
      <c r="A33" t="s" s="250">
        <v>1928</v>
      </c>
      <c r="B33" s="253">
        <v>14</v>
      </c>
      <c r="C33" s="251"/>
      <c r="D33" s="251"/>
      <c r="E33" s="251"/>
      <c r="F33" s="253">
        <v>3</v>
      </c>
      <c r="G33" s="253">
        <v>7</v>
      </c>
      <c r="H33" s="251"/>
      <c r="I33" s="251"/>
      <c r="J33" s="253">
        <v>3</v>
      </c>
      <c r="K33" s="251"/>
      <c r="L33" s="251"/>
      <c r="M33" s="253">
        <v>1</v>
      </c>
      <c r="N33" s="251"/>
      <c r="O33" s="253">
        <f>SUM(C33:N33)</f>
        <v>14</v>
      </c>
      <c r="P33" s="251"/>
      <c r="Q33" s="253">
        <f>'Peveril Drive'!F54</f>
        <v>51</v>
      </c>
      <c r="R33" s="253">
        <f>'Peveril Drive'!I54+'Peveril Drive'!J54</f>
        <v>9</v>
      </c>
      <c r="S33" s="253">
        <f>B9</f>
        <v>13</v>
      </c>
      <c r="T33" s="253">
        <f>B33</f>
        <v>14</v>
      </c>
      <c r="U33" s="253">
        <v>1</v>
      </c>
      <c r="V33" s="251"/>
      <c r="W33" s="253">
        <f>Q33-R33-S33-T33-U33-V33</f>
        <v>14</v>
      </c>
      <c r="X33" s="252"/>
      <c r="Y33" s="8"/>
      <c r="Z33" s="8"/>
      <c r="AA33" s="353"/>
      <c r="AB33" s="251"/>
      <c r="AC33" s="354"/>
      <c r="AD33" s="251"/>
      <c r="AE33" s="252"/>
      <c r="AF33" s="8"/>
      <c r="AG33" s="8"/>
      <c r="AH33" s="8"/>
      <c r="AI33" s="8"/>
      <c r="AJ33" s="8"/>
      <c r="AK33" s="8"/>
      <c r="AL33" s="8"/>
      <c r="AM33" s="8"/>
      <c r="AN33" s="8"/>
      <c r="AO33" s="8"/>
      <c r="AP33" s="8"/>
      <c r="AQ33" s="8"/>
      <c r="AR33" s="8"/>
      <c r="AS33" s="8"/>
      <c r="AT33" s="8"/>
      <c r="AU33" s="8"/>
      <c r="AV33" s="8"/>
      <c r="AW33" s="8"/>
      <c r="AX33" s="8"/>
      <c r="AY33" s="8"/>
      <c r="AZ33" s="353"/>
      <c r="BA33" s="251"/>
      <c r="BB33" s="252"/>
      <c r="BC33" s="8"/>
      <c r="BD33" s="8"/>
      <c r="BE33" s="8"/>
      <c r="BF33" s="353"/>
      <c r="BG33" s="251"/>
      <c r="BH33" s="252"/>
      <c r="BI33" s="8"/>
      <c r="BJ33" s="8"/>
      <c r="BK33" s="8"/>
      <c r="BL33" s="8"/>
    </row>
    <row r="34" ht="17.45" customHeight="1">
      <c r="A34" t="s" s="250">
        <v>1929</v>
      </c>
      <c r="B34" s="253">
        <f>'lentonave-dan'!R125</f>
        <v>35</v>
      </c>
      <c r="C34" s="251"/>
      <c r="D34" s="253">
        <v>0</v>
      </c>
      <c r="E34" s="253">
        <v>1</v>
      </c>
      <c r="F34" s="253">
        <v>10</v>
      </c>
      <c r="G34" s="253">
        <v>9</v>
      </c>
      <c r="H34" s="251"/>
      <c r="I34" s="253">
        <v>0</v>
      </c>
      <c r="J34" s="253">
        <v>11</v>
      </c>
      <c r="K34" s="251"/>
      <c r="L34" s="251"/>
      <c r="M34" s="253">
        <v>2</v>
      </c>
      <c r="N34" s="253">
        <v>2</v>
      </c>
      <c r="O34" s="253">
        <f>SUM(C34:N34)</f>
        <v>35</v>
      </c>
      <c r="P34" s="251"/>
      <c r="Q34" s="253">
        <f>'lentonave-dan'!H125</f>
        <v>120</v>
      </c>
      <c r="R34" s="253">
        <f>'lentonave-dan'!K125+'lentonave-dan'!L125</f>
        <v>17</v>
      </c>
      <c r="S34" s="253">
        <f>B10</f>
        <v>41</v>
      </c>
      <c r="T34" s="253">
        <f>B34</f>
        <v>35</v>
      </c>
      <c r="U34" s="253">
        <v>3</v>
      </c>
      <c r="V34" s="251"/>
      <c r="W34" s="253">
        <f>Q34-R34-S34-T34-U34-V34</f>
        <v>24</v>
      </c>
      <c r="X34" s="252"/>
      <c r="Y34" s="8"/>
      <c r="Z34" s="8"/>
      <c r="AA34" s="353"/>
      <c r="AB34" s="356"/>
      <c r="AC34" s="354"/>
      <c r="AD34" s="251"/>
      <c r="AE34" s="252"/>
      <c r="AF34" s="8"/>
      <c r="AG34" s="8"/>
      <c r="AH34" s="8"/>
      <c r="AI34" s="8"/>
      <c r="AJ34" s="8"/>
      <c r="AK34" s="8"/>
      <c r="AL34" s="8"/>
      <c r="AM34" s="8"/>
      <c r="AN34" s="8"/>
      <c r="AO34" s="8"/>
      <c r="AP34" s="8"/>
      <c r="AQ34" s="8"/>
      <c r="AR34" s="8"/>
      <c r="AS34" s="8"/>
      <c r="AT34" s="8"/>
      <c r="AU34" s="8"/>
      <c r="AV34" s="8"/>
      <c r="AW34" s="8"/>
      <c r="AX34" s="8"/>
      <c r="AY34" s="8"/>
      <c r="AZ34" s="353"/>
      <c r="BA34" s="251"/>
      <c r="BB34" s="252"/>
      <c r="BC34" s="8"/>
      <c r="BD34" s="8"/>
      <c r="BE34" s="8"/>
      <c r="BF34" s="353"/>
      <c r="BG34" s="251"/>
      <c r="BH34" s="252"/>
      <c r="BI34" s="8"/>
      <c r="BJ34" s="8"/>
      <c r="BK34" s="8"/>
      <c r="BL34" s="8"/>
    </row>
    <row r="35" ht="17.45" customHeight="1">
      <c r="A35" t="s" s="250">
        <v>1931</v>
      </c>
      <c r="B35" s="253">
        <f>'Clumber rd W dan'!R18</f>
        <v>8</v>
      </c>
      <c r="C35" s="251"/>
      <c r="D35" s="251"/>
      <c r="E35" s="251"/>
      <c r="F35" s="253">
        <v>2</v>
      </c>
      <c r="G35" s="253">
        <v>2</v>
      </c>
      <c r="H35" s="251"/>
      <c r="I35" s="253">
        <v>1</v>
      </c>
      <c r="J35" s="253">
        <v>2</v>
      </c>
      <c r="K35" s="251"/>
      <c r="L35" s="251"/>
      <c r="M35" s="251"/>
      <c r="N35" s="253">
        <v>1</v>
      </c>
      <c r="O35" s="253">
        <f>SUM(C35:N35)</f>
        <v>8</v>
      </c>
      <c r="P35" s="251"/>
      <c r="Q35" s="253">
        <f>'Clumber rd W dan'!H18</f>
        <v>15</v>
      </c>
      <c r="R35" s="253">
        <f>'Clumber rd W dan'!K18+'Clumber rd W dan'!L18</f>
        <v>0</v>
      </c>
      <c r="S35" s="253">
        <f>B11</f>
        <v>5</v>
      </c>
      <c r="T35" s="253">
        <f>B35</f>
        <v>8</v>
      </c>
      <c r="U35" s="251"/>
      <c r="V35" s="251"/>
      <c r="W35" s="253">
        <f>Q35-R35-S35-T35-U35-V35</f>
        <v>2</v>
      </c>
      <c r="X35" s="252"/>
      <c r="Y35" s="8"/>
      <c r="Z35" s="8"/>
      <c r="AA35" s="353"/>
      <c r="AB35" s="251"/>
      <c r="AC35" s="354"/>
      <c r="AD35" s="251"/>
      <c r="AE35" s="252"/>
      <c r="AF35" s="8"/>
      <c r="AG35" s="8"/>
      <c r="AH35" s="8"/>
      <c r="AI35" s="8"/>
      <c r="AJ35" s="8"/>
      <c r="AK35" s="8"/>
      <c r="AL35" s="8"/>
      <c r="AM35" s="8"/>
      <c r="AN35" s="8"/>
      <c r="AO35" s="8"/>
      <c r="AP35" s="8"/>
      <c r="AQ35" s="8"/>
      <c r="AR35" s="8"/>
      <c r="AS35" s="8"/>
      <c r="AT35" s="8"/>
      <c r="AU35" s="8"/>
      <c r="AV35" s="8"/>
      <c r="AW35" s="8"/>
      <c r="AX35" s="8"/>
      <c r="AY35" s="8"/>
      <c r="AZ35" s="353"/>
      <c r="BA35" s="251"/>
      <c r="BB35" s="252"/>
      <c r="BC35" s="8"/>
      <c r="BD35" s="8"/>
      <c r="BE35" s="8"/>
      <c r="BF35" s="353"/>
      <c r="BG35" s="251"/>
      <c r="BH35" s="252"/>
      <c r="BI35" s="8"/>
      <c r="BJ35" s="8"/>
      <c r="BK35" s="8"/>
      <c r="BL35" s="8"/>
    </row>
    <row r="36" ht="17.45" customHeight="1">
      <c r="A36" t="s" s="250">
        <v>1933</v>
      </c>
      <c r="B36" s="253">
        <f>'maxtoke rd dan'!R18</f>
        <v>6</v>
      </c>
      <c r="C36" s="251"/>
      <c r="D36" s="251"/>
      <c r="E36" s="251"/>
      <c r="F36" s="253">
        <v>1</v>
      </c>
      <c r="G36" s="253">
        <v>2</v>
      </c>
      <c r="H36" s="251"/>
      <c r="I36" s="251"/>
      <c r="J36" s="253">
        <v>1</v>
      </c>
      <c r="K36" s="251"/>
      <c r="L36" s="251"/>
      <c r="M36" s="253">
        <v>2</v>
      </c>
      <c r="N36" s="251"/>
      <c r="O36" s="253">
        <f>SUM(C36:N36)</f>
        <v>6</v>
      </c>
      <c r="P36" s="251"/>
      <c r="Q36" s="253">
        <f>'maxtoke rd dan'!H18</f>
        <v>15</v>
      </c>
      <c r="R36" s="253">
        <f>'maxtoke rd dan'!K18+'maxtoke rd dan'!L18</f>
        <v>5</v>
      </c>
      <c r="S36" s="253">
        <f>B12</f>
        <v>2</v>
      </c>
      <c r="T36" s="253">
        <f>O36</f>
        <v>6</v>
      </c>
      <c r="U36" s="251"/>
      <c r="V36" s="251"/>
      <c r="W36" s="253">
        <f>Q36-R36-S36-T36-U36-V36</f>
        <v>2</v>
      </c>
      <c r="X36" s="252"/>
      <c r="Y36" s="8"/>
      <c r="Z36" s="8"/>
      <c r="AA36" s="353"/>
      <c r="AB36" s="251"/>
      <c r="AC36" s="354"/>
      <c r="AD36" s="251"/>
      <c r="AE36" s="252"/>
      <c r="AF36" s="8"/>
      <c r="AG36" s="8"/>
      <c r="AH36" s="8"/>
      <c r="AI36" s="8"/>
      <c r="AJ36" s="8"/>
      <c r="AK36" s="8"/>
      <c r="AL36" s="8"/>
      <c r="AM36" s="8"/>
      <c r="AN36" s="8"/>
      <c r="AO36" s="8"/>
      <c r="AP36" s="8"/>
      <c r="AQ36" s="8"/>
      <c r="AR36" s="8"/>
      <c r="AS36" s="8"/>
      <c r="AT36" s="8"/>
      <c r="AU36" s="8"/>
      <c r="AV36" s="8"/>
      <c r="AW36" s="8"/>
      <c r="AX36" s="8"/>
      <c r="AY36" s="8"/>
      <c r="AZ36" s="353"/>
      <c r="BA36" s="251"/>
      <c r="BB36" s="252"/>
      <c r="BC36" s="8"/>
      <c r="BD36" s="8"/>
      <c r="BE36" s="8"/>
      <c r="BF36" s="353"/>
      <c r="BG36" s="251"/>
      <c r="BH36" s="252"/>
      <c r="BI36" s="8"/>
      <c r="BJ36" s="8"/>
      <c r="BK36" s="8"/>
      <c r="BL36" s="8"/>
    </row>
    <row r="37" ht="17.45" customHeight="1">
      <c r="A37" t="s" s="250">
        <v>1935</v>
      </c>
      <c r="B37" s="253">
        <f>'clumbercress dan'!R34</f>
        <v>13</v>
      </c>
      <c r="C37" s="253">
        <v>1</v>
      </c>
      <c r="D37" s="251"/>
      <c r="E37" s="251"/>
      <c r="F37" s="253">
        <v>6</v>
      </c>
      <c r="G37" s="253">
        <v>3</v>
      </c>
      <c r="H37" s="251"/>
      <c r="I37" s="251"/>
      <c r="J37" s="253">
        <v>2</v>
      </c>
      <c r="K37" s="251"/>
      <c r="L37" s="251"/>
      <c r="M37" s="251"/>
      <c r="N37" s="253">
        <v>1</v>
      </c>
      <c r="O37" s="253">
        <f>SUM(C37:N37)</f>
        <v>13</v>
      </c>
      <c r="P37" s="251"/>
      <c r="Q37" s="253">
        <f>'clumbercress dan'!H34</f>
        <v>31</v>
      </c>
      <c r="R37" s="253">
        <f>'clumbercress dan'!K34+'clumbercress dan'!L34</f>
        <v>0</v>
      </c>
      <c r="S37" s="253">
        <f>B13</f>
        <v>4</v>
      </c>
      <c r="T37" s="253">
        <f>B37</f>
        <v>13</v>
      </c>
      <c r="U37" s="251"/>
      <c r="V37" s="253">
        <v>2</v>
      </c>
      <c r="W37" s="253">
        <f>Q37-R37-S37-T37-U37-V37</f>
        <v>12</v>
      </c>
      <c r="X37" s="252"/>
      <c r="Y37" s="8"/>
      <c r="Z37" s="8"/>
      <c r="AA37" s="353"/>
      <c r="AB37" s="254"/>
      <c r="AC37" s="357"/>
      <c r="AD37" s="251"/>
      <c r="AE37" s="252"/>
      <c r="AF37" s="8"/>
      <c r="AG37" s="8"/>
      <c r="AH37" s="8"/>
      <c r="AI37" s="8"/>
      <c r="AJ37" s="8"/>
      <c r="AK37" s="8"/>
      <c r="AL37" s="8"/>
      <c r="AM37" s="8"/>
      <c r="AN37" s="8"/>
      <c r="AO37" s="8"/>
      <c r="AP37" s="8"/>
      <c r="AQ37" s="8"/>
      <c r="AR37" s="8"/>
      <c r="AS37" s="8"/>
      <c r="AT37" s="8"/>
      <c r="AU37" s="8"/>
      <c r="AV37" s="8"/>
      <c r="AW37" s="8"/>
      <c r="AX37" s="8"/>
      <c r="AY37" s="8"/>
      <c r="AZ37" s="353"/>
      <c r="BA37" s="251"/>
      <c r="BB37" s="252"/>
      <c r="BC37" s="8"/>
      <c r="BD37" s="8"/>
      <c r="BE37" s="8"/>
      <c r="BF37" s="353"/>
      <c r="BG37" s="251"/>
      <c r="BH37" s="252"/>
      <c r="BI37" s="8"/>
      <c r="BJ37" s="8"/>
      <c r="BK37" s="8"/>
      <c r="BL37" s="8"/>
    </row>
    <row r="38" ht="17.45" customHeight="1">
      <c r="A38" t="s" s="250">
        <v>1937</v>
      </c>
      <c r="B38" s="253">
        <f>'Cav cresn'!P57</f>
        <v>30</v>
      </c>
      <c r="C38" s="251"/>
      <c r="D38" s="251"/>
      <c r="E38" s="251"/>
      <c r="F38" s="253">
        <v>7</v>
      </c>
      <c r="G38" s="253">
        <v>5</v>
      </c>
      <c r="H38" s="253">
        <v>1</v>
      </c>
      <c r="I38" s="253">
        <v>1</v>
      </c>
      <c r="J38" s="253">
        <v>8</v>
      </c>
      <c r="K38" s="251"/>
      <c r="L38" s="253">
        <v>2</v>
      </c>
      <c r="M38" s="253">
        <v>4</v>
      </c>
      <c r="N38" s="253">
        <v>2</v>
      </c>
      <c r="O38" s="253">
        <f>SUM(C38:N38)</f>
        <v>30</v>
      </c>
      <c r="P38" s="254"/>
      <c r="Q38" s="253">
        <f>'Cav cresn'!F88</f>
        <v>54</v>
      </c>
      <c r="R38" s="253">
        <f>'Cav cresn'!I88+'Cav cresn'!J88</f>
        <v>9</v>
      </c>
      <c r="S38" s="253">
        <v>9</v>
      </c>
      <c r="T38" s="253">
        <f>'Cav cresn'!P88</f>
        <v>30</v>
      </c>
      <c r="U38" s="253">
        <v>0</v>
      </c>
      <c r="V38" s="253">
        <v>1</v>
      </c>
      <c r="W38" s="253">
        <f>Q38-R38-S38-T38-U38-V38</f>
        <v>5</v>
      </c>
      <c r="X38" s="252"/>
      <c r="Y38" s="8"/>
      <c r="Z38" s="8"/>
      <c r="AA38" s="353"/>
      <c r="AB38" s="254"/>
      <c r="AC38" s="357"/>
      <c r="AD38" s="251"/>
      <c r="AE38" s="252"/>
      <c r="AF38" s="8"/>
      <c r="AG38" s="8"/>
      <c r="AH38" s="8"/>
      <c r="AI38" s="8"/>
      <c r="AJ38" s="8"/>
      <c r="AK38" s="8"/>
      <c r="AL38" s="8"/>
      <c r="AM38" s="8"/>
      <c r="AN38" s="8"/>
      <c r="AO38" s="8"/>
      <c r="AP38" s="8"/>
      <c r="AQ38" s="8"/>
      <c r="AR38" s="8"/>
      <c r="AS38" s="8"/>
      <c r="AT38" s="8"/>
      <c r="AU38" s="8"/>
      <c r="AV38" s="8"/>
      <c r="AW38" s="8"/>
      <c r="AX38" s="8"/>
      <c r="AY38" s="8"/>
      <c r="AZ38" s="353"/>
      <c r="BA38" s="251"/>
      <c r="BB38" s="252"/>
      <c r="BC38" s="8"/>
      <c r="BD38" s="8"/>
      <c r="BE38" s="8"/>
      <c r="BF38" s="353"/>
      <c r="BG38" s="251"/>
      <c r="BH38" s="252"/>
      <c r="BI38" s="8"/>
      <c r="BJ38" s="8"/>
      <c r="BK38" s="8"/>
      <c r="BL38" s="8"/>
    </row>
    <row r="39" ht="17.45" customHeight="1">
      <c r="A39" t="s" s="250">
        <v>1939</v>
      </c>
      <c r="B39" s="253">
        <f>'southrd p 168'!P38</f>
        <v>16</v>
      </c>
      <c r="C39" s="251"/>
      <c r="D39" s="251"/>
      <c r="E39" s="251"/>
      <c r="F39" s="253">
        <v>3</v>
      </c>
      <c r="G39" s="253">
        <v>8</v>
      </c>
      <c r="H39" s="251"/>
      <c r="I39" s="253">
        <v>1</v>
      </c>
      <c r="J39" s="253">
        <v>1</v>
      </c>
      <c r="K39" s="251"/>
      <c r="L39" s="253">
        <v>1</v>
      </c>
      <c r="M39" s="253">
        <v>1</v>
      </c>
      <c r="N39" s="253">
        <v>1</v>
      </c>
      <c r="O39" s="253">
        <f>SUM(C39:N39)</f>
        <v>16</v>
      </c>
      <c r="P39" s="254"/>
      <c r="Q39" s="253">
        <f>'southrd p 168'!F38</f>
        <v>35</v>
      </c>
      <c r="R39" s="253">
        <v>2</v>
      </c>
      <c r="S39" s="253">
        <v>8</v>
      </c>
      <c r="T39" s="253">
        <f>O39</f>
        <v>16</v>
      </c>
      <c r="U39" s="251"/>
      <c r="V39" s="253">
        <v>1</v>
      </c>
      <c r="W39" s="253">
        <f>Q39-R39-S39-T39-U39-V39</f>
        <v>8</v>
      </c>
      <c r="X39" s="252"/>
      <c r="Y39" s="8"/>
      <c r="Z39" s="8"/>
      <c r="AA39" s="353"/>
      <c r="AB39" s="251"/>
      <c r="AC39" s="354"/>
      <c r="AD39" s="251"/>
      <c r="AE39" s="252"/>
      <c r="AF39" s="8"/>
      <c r="AG39" s="8"/>
      <c r="AH39" s="8"/>
      <c r="AI39" s="8"/>
      <c r="AJ39" s="8"/>
      <c r="AK39" s="8"/>
      <c r="AL39" s="8"/>
      <c r="AM39" s="8"/>
      <c r="AN39" s="8"/>
      <c r="AO39" s="8"/>
      <c r="AP39" s="8"/>
      <c r="AQ39" s="8"/>
      <c r="AR39" s="8"/>
      <c r="AS39" s="8"/>
      <c r="AT39" s="8"/>
      <c r="AU39" s="8"/>
      <c r="AV39" s="8"/>
      <c r="AW39" s="8"/>
      <c r="AX39" s="8"/>
      <c r="AY39" s="8"/>
      <c r="AZ39" s="353"/>
      <c r="BA39" s="251"/>
      <c r="BB39" s="252"/>
      <c r="BC39" s="8"/>
      <c r="BD39" s="8"/>
      <c r="BE39" s="8"/>
      <c r="BF39" s="353"/>
      <c r="BG39" s="251"/>
      <c r="BH39" s="252"/>
      <c r="BI39" s="8"/>
      <c r="BJ39" s="8"/>
      <c r="BK39" s="8"/>
      <c r="BL39" s="8"/>
    </row>
    <row r="40" ht="17.45" customHeight="1">
      <c r="A40" t="s" s="250">
        <v>1993</v>
      </c>
      <c r="B40" s="253">
        <f>'Cavendish Cres S p182'!P58</f>
        <v>23</v>
      </c>
      <c r="C40" s="251"/>
      <c r="D40" s="251"/>
      <c r="E40" s="251"/>
      <c r="F40" s="253">
        <v>9</v>
      </c>
      <c r="G40" s="253">
        <v>4</v>
      </c>
      <c r="H40" s="251"/>
      <c r="I40" s="251"/>
      <c r="J40" s="253">
        <v>9</v>
      </c>
      <c r="K40" s="251"/>
      <c r="L40" s="251"/>
      <c r="M40" s="251"/>
      <c r="N40" s="253">
        <v>1</v>
      </c>
      <c r="O40" s="253">
        <f>SUM(C40:N40)</f>
        <v>23</v>
      </c>
      <c r="P40" s="251"/>
      <c r="Q40" s="253">
        <f>'Cavendish Cres S p182'!F58</f>
        <v>55</v>
      </c>
      <c r="R40" s="253">
        <v>2</v>
      </c>
      <c r="S40" s="253">
        <f>B16</f>
        <v>14</v>
      </c>
      <c r="T40" s="253">
        <f>'Cavendish Cres S p182'!P58</f>
        <v>23</v>
      </c>
      <c r="U40" s="253">
        <v>5</v>
      </c>
      <c r="V40" s="253">
        <v>1</v>
      </c>
      <c r="W40" s="253">
        <f>Q40-R40-S40-T40-U40-V40</f>
        <v>10</v>
      </c>
      <c r="X40" s="252"/>
      <c r="Y40" s="8"/>
      <c r="Z40" s="8"/>
      <c r="AA40" s="353"/>
      <c r="AB40" s="251"/>
      <c r="AC40" s="354"/>
      <c r="AD40" s="251"/>
      <c r="AE40" s="252"/>
      <c r="AF40" s="8"/>
      <c r="AG40" s="8"/>
      <c r="AH40" s="8"/>
      <c r="AI40" s="8"/>
      <c r="AJ40" s="8"/>
      <c r="AK40" s="8"/>
      <c r="AL40" s="8"/>
      <c r="AM40" s="8"/>
      <c r="AN40" s="8"/>
      <c r="AO40" s="8"/>
      <c r="AP40" s="8"/>
      <c r="AQ40" s="8"/>
      <c r="AR40" s="8"/>
      <c r="AS40" s="8"/>
      <c r="AT40" s="8"/>
      <c r="AU40" s="8"/>
      <c r="AV40" s="8"/>
      <c r="AW40" s="8"/>
      <c r="AX40" s="8"/>
      <c r="AY40" s="8"/>
      <c r="AZ40" s="353"/>
      <c r="BA40" s="251"/>
      <c r="BB40" s="252"/>
      <c r="BC40" s="8"/>
      <c r="BD40" s="8"/>
      <c r="BE40" s="8"/>
      <c r="BF40" s="353"/>
      <c r="BG40" s="251"/>
      <c r="BH40" s="252"/>
      <c r="BI40" s="8"/>
      <c r="BJ40" s="8"/>
      <c r="BK40" s="8"/>
      <c r="BL40" s="8"/>
    </row>
    <row r="41" ht="17.45" customHeight="1">
      <c r="A41" t="s" s="250">
        <v>1942</v>
      </c>
      <c r="B41" s="253">
        <f>'holles cres p202'!P17</f>
        <v>5</v>
      </c>
      <c r="C41" s="251"/>
      <c r="D41" s="251"/>
      <c r="E41" s="253">
        <v>1</v>
      </c>
      <c r="F41" s="251"/>
      <c r="G41" s="253">
        <v>3</v>
      </c>
      <c r="H41" s="251"/>
      <c r="I41" s="251"/>
      <c r="J41" s="251"/>
      <c r="K41" s="251"/>
      <c r="L41" s="251"/>
      <c r="M41" s="253">
        <v>1</v>
      </c>
      <c r="N41" s="251"/>
      <c r="O41" s="253">
        <f>SUM(C41:N41)</f>
        <v>5</v>
      </c>
      <c r="P41" s="251"/>
      <c r="Q41" s="253">
        <f>'holles cres p202'!F17</f>
        <v>14</v>
      </c>
      <c r="R41" s="253">
        <f>'holles cres p202'!I17+'holles cres p202'!J17</f>
        <v>2</v>
      </c>
      <c r="S41" s="253">
        <f>BG17</f>
        <v>2</v>
      </c>
      <c r="T41" s="253">
        <f>B41</f>
        <v>5</v>
      </c>
      <c r="U41" s="253">
        <v>1</v>
      </c>
      <c r="V41" s="251"/>
      <c r="W41" s="253">
        <f>Q41-R41-S41-T41-U41-V41</f>
        <v>4</v>
      </c>
      <c r="X41" s="252"/>
      <c r="Y41" s="8"/>
      <c r="Z41" s="8"/>
      <c r="AA41" s="353"/>
      <c r="AB41" s="251"/>
      <c r="AC41" s="354"/>
      <c r="AD41" s="251"/>
      <c r="AE41" s="252"/>
      <c r="AF41" s="8"/>
      <c r="AG41" s="8"/>
      <c r="AH41" s="8"/>
      <c r="AI41" s="8"/>
      <c r="AJ41" s="8"/>
      <c r="AK41" s="8"/>
      <c r="AL41" s="8"/>
      <c r="AM41" s="8"/>
      <c r="AN41" s="8"/>
      <c r="AO41" s="8"/>
      <c r="AP41" s="8"/>
      <c r="AQ41" s="8"/>
      <c r="AR41" s="8"/>
      <c r="AS41" s="8"/>
      <c r="AT41" s="8"/>
      <c r="AU41" s="8"/>
      <c r="AV41" s="8"/>
      <c r="AW41" s="8"/>
      <c r="AX41" s="8"/>
      <c r="AY41" s="8"/>
      <c r="AZ41" s="353"/>
      <c r="BA41" s="251"/>
      <c r="BB41" s="252"/>
      <c r="BC41" s="8"/>
      <c r="BD41" s="8"/>
      <c r="BE41" s="8"/>
      <c r="BF41" s="353"/>
      <c r="BG41" s="251"/>
      <c r="BH41" s="252"/>
      <c r="BI41" s="8"/>
      <c r="BJ41" s="8"/>
      <c r="BK41" s="8"/>
      <c r="BL41" s="8"/>
    </row>
    <row r="42" ht="17.45" customHeight="1">
      <c r="A42" t="s" s="250">
        <v>1943</v>
      </c>
      <c r="B42" s="253">
        <f>'LentonRd p208'!P133</f>
        <v>52</v>
      </c>
      <c r="C42" s="251"/>
      <c r="D42" s="253">
        <v>1</v>
      </c>
      <c r="E42" s="251"/>
      <c r="F42" s="253">
        <v>12</v>
      </c>
      <c r="G42" s="253">
        <v>13</v>
      </c>
      <c r="H42" s="251"/>
      <c r="I42" s="251"/>
      <c r="J42" s="253">
        <v>15</v>
      </c>
      <c r="K42" s="251"/>
      <c r="L42" s="253">
        <v>2</v>
      </c>
      <c r="M42" s="253">
        <v>7</v>
      </c>
      <c r="N42" s="253">
        <v>2</v>
      </c>
      <c r="O42" s="253">
        <f>SUM(C42:N42)</f>
        <v>52</v>
      </c>
      <c r="P42" s="251"/>
      <c r="Q42" s="253">
        <f>'LentonRd p208'!F133</f>
        <v>130</v>
      </c>
      <c r="R42" s="253">
        <f>'LentonRd p208'!I133+'LentonRd p208'!J133</f>
        <v>11</v>
      </c>
      <c r="S42" s="253">
        <f>B18</f>
        <v>22</v>
      </c>
      <c r="T42" s="253">
        <f>B42</f>
        <v>52</v>
      </c>
      <c r="U42" s="253">
        <v>5</v>
      </c>
      <c r="V42" s="253">
        <v>4</v>
      </c>
      <c r="W42" s="253">
        <f>Q42-R42-S42-T42-U42-V42</f>
        <v>36</v>
      </c>
      <c r="X42" s="252"/>
      <c r="Y42" s="8"/>
      <c r="Z42" s="8"/>
      <c r="AA42" s="353"/>
      <c r="AB42" s="251"/>
      <c r="AC42" s="354"/>
      <c r="AD42" s="251"/>
      <c r="AE42" s="252"/>
      <c r="AF42" s="8"/>
      <c r="AG42" s="8"/>
      <c r="AH42" s="8"/>
      <c r="AI42" s="8"/>
      <c r="AJ42" s="8"/>
      <c r="AK42" s="8"/>
      <c r="AL42" s="8"/>
      <c r="AM42" s="8"/>
      <c r="AN42" s="8"/>
      <c r="AO42" s="8"/>
      <c r="AP42" s="8"/>
      <c r="AQ42" s="8"/>
      <c r="AR42" s="8"/>
      <c r="AS42" s="8"/>
      <c r="AT42" s="8"/>
      <c r="AU42" s="8"/>
      <c r="AV42" s="8"/>
      <c r="AW42" s="8"/>
      <c r="AX42" s="8"/>
      <c r="AY42" s="8"/>
      <c r="AZ42" s="353"/>
      <c r="BA42" s="251"/>
      <c r="BB42" s="252"/>
      <c r="BC42" s="8"/>
      <c r="BD42" s="8"/>
      <c r="BE42" s="8"/>
      <c r="BF42" s="353"/>
      <c r="BG42" s="251"/>
      <c r="BH42" s="252"/>
      <c r="BI42" s="8"/>
      <c r="BJ42" s="8"/>
      <c r="BK42" s="8"/>
      <c r="BL42" s="8"/>
    </row>
    <row r="43" ht="17.45" customHeight="1">
      <c r="A43" t="s" s="250">
        <v>1944</v>
      </c>
      <c r="B43" s="253">
        <v>2</v>
      </c>
      <c r="C43" s="251"/>
      <c r="D43" s="251"/>
      <c r="E43" s="251"/>
      <c r="F43" s="253">
        <v>1</v>
      </c>
      <c r="G43" s="253">
        <v>1</v>
      </c>
      <c r="H43" s="251"/>
      <c r="I43" s="251"/>
      <c r="J43" s="251"/>
      <c r="K43" s="251"/>
      <c r="L43" s="251"/>
      <c r="M43" s="251"/>
      <c r="N43" s="251"/>
      <c r="O43" s="253">
        <f>SUM(C43:N43)</f>
        <v>2</v>
      </c>
      <c r="P43" s="251"/>
      <c r="Q43" s="253">
        <f>'Hermitage Walkp 256'!F6</f>
        <v>3</v>
      </c>
      <c r="R43" s="253">
        <f>'Hermitage Walkp 256'!I6+'Hermitage Walkp 256'!J6</f>
        <v>0</v>
      </c>
      <c r="S43" s="253">
        <f>B19</f>
        <v>0</v>
      </c>
      <c r="T43" s="253">
        <f>O43</f>
        <v>2</v>
      </c>
      <c r="U43" s="251"/>
      <c r="V43" s="251"/>
      <c r="W43" s="253">
        <f>Q43-R43-S43-T43-U43-V43</f>
        <v>1</v>
      </c>
      <c r="X43" s="252"/>
      <c r="Y43" s="8"/>
      <c r="Z43" s="8"/>
      <c r="AA43" s="353"/>
      <c r="AB43" s="251"/>
      <c r="AC43" s="354"/>
      <c r="AD43" s="251"/>
      <c r="AE43" s="252"/>
      <c r="AF43" s="8"/>
      <c r="AG43" s="8"/>
      <c r="AH43" s="8"/>
      <c r="AI43" s="8"/>
      <c r="AJ43" s="8"/>
      <c r="AK43" s="8"/>
      <c r="AL43" s="8"/>
      <c r="AM43" s="8"/>
      <c r="AN43" s="8"/>
      <c r="AO43" s="8"/>
      <c r="AP43" s="8"/>
      <c r="AQ43" s="8"/>
      <c r="AR43" s="8"/>
      <c r="AS43" s="8"/>
      <c r="AT43" s="8"/>
      <c r="AU43" s="8"/>
      <c r="AV43" s="8"/>
      <c r="AW43" s="8"/>
      <c r="AX43" s="8"/>
      <c r="AY43" s="8"/>
      <c r="AZ43" s="353"/>
      <c r="BA43" s="251"/>
      <c r="BB43" s="252"/>
      <c r="BC43" s="8"/>
      <c r="BD43" s="8"/>
      <c r="BE43" s="8"/>
      <c r="BF43" s="353"/>
      <c r="BG43" s="251"/>
      <c r="BH43" s="252"/>
      <c r="BI43" s="8"/>
      <c r="BJ43" s="8"/>
      <c r="BK43" s="8"/>
      <c r="BL43" s="8"/>
    </row>
    <row r="44" ht="17.45" customHeight="1">
      <c r="A44" t="s" s="250">
        <v>1945</v>
      </c>
      <c r="B44" s="253">
        <f>'Kenilworthrd p 259'!P30</f>
        <v>7</v>
      </c>
      <c r="C44" s="251"/>
      <c r="D44" s="251"/>
      <c r="E44" s="251"/>
      <c r="F44" s="253">
        <v>1</v>
      </c>
      <c r="G44" s="253">
        <v>4</v>
      </c>
      <c r="H44" s="251"/>
      <c r="I44" s="251"/>
      <c r="J44" s="253">
        <v>2</v>
      </c>
      <c r="K44" s="251"/>
      <c r="L44" s="251"/>
      <c r="M44" s="251"/>
      <c r="N44" s="251"/>
      <c r="O44" s="253">
        <f>SUM(C44:N44)</f>
        <v>7</v>
      </c>
      <c r="P44" s="251"/>
      <c r="Q44" s="253">
        <f>'Kenilworthrd p 259'!F30</f>
        <v>27</v>
      </c>
      <c r="R44" s="253">
        <f>'Kenilworthrd p 259'!I30+'Kenilworthrd p 259'!J30</f>
        <v>6</v>
      </c>
      <c r="S44" s="253">
        <f>B20</f>
        <v>4</v>
      </c>
      <c r="T44" s="253">
        <f>O44</f>
        <v>7</v>
      </c>
      <c r="U44" s="251"/>
      <c r="V44" s="251"/>
      <c r="W44" s="253">
        <f>Q44-R44-S44-T44-U44-V44</f>
        <v>10</v>
      </c>
      <c r="X44" s="252"/>
      <c r="Y44" s="8"/>
      <c r="Z44" s="8"/>
      <c r="AA44" s="353"/>
      <c r="AB44" s="251"/>
      <c r="AC44" s="354"/>
      <c r="AD44" s="251"/>
      <c r="AE44" s="252"/>
      <c r="AF44" s="8"/>
      <c r="AG44" s="8"/>
      <c r="AH44" s="8"/>
      <c r="AI44" s="8"/>
      <c r="AJ44" s="8"/>
      <c r="AK44" s="8"/>
      <c r="AL44" s="8"/>
      <c r="AM44" s="8"/>
      <c r="AN44" s="8"/>
      <c r="AO44" s="8"/>
      <c r="AP44" s="8"/>
      <c r="AQ44" s="8"/>
      <c r="AR44" s="8"/>
      <c r="AS44" s="8"/>
      <c r="AT44" s="8"/>
      <c r="AU44" s="8"/>
      <c r="AV44" s="8"/>
      <c r="AW44" s="8"/>
      <c r="AX44" s="8"/>
      <c r="AY44" s="8"/>
      <c r="AZ44" s="353"/>
      <c r="BA44" s="251"/>
      <c r="BB44" s="252"/>
      <c r="BC44" s="8"/>
      <c r="BD44" s="8"/>
      <c r="BE44" s="8"/>
      <c r="BF44" s="353"/>
      <c r="BG44" s="251"/>
      <c r="BH44" s="252"/>
      <c r="BI44" s="8"/>
      <c r="BJ44" s="8"/>
      <c r="BK44" s="8"/>
      <c r="BL44" s="8"/>
    </row>
    <row r="45" ht="17.45" customHeight="1">
      <c r="A45" t="s" s="250">
        <v>1946</v>
      </c>
      <c r="B45" s="253">
        <f>'fishpond drive p 286 418'!P23</f>
        <v>2</v>
      </c>
      <c r="C45" s="251"/>
      <c r="D45" s="251"/>
      <c r="E45" s="251"/>
      <c r="F45" s="251"/>
      <c r="G45" s="253">
        <v>1</v>
      </c>
      <c r="H45" s="251"/>
      <c r="I45" s="253">
        <v>1</v>
      </c>
      <c r="J45" s="251"/>
      <c r="K45" s="251"/>
      <c r="L45" s="251"/>
      <c r="M45" s="251"/>
      <c r="N45" s="251"/>
      <c r="O45" s="251"/>
      <c r="P45" s="251"/>
      <c r="Q45" s="253">
        <f>'fishpond drive p 286 418'!F23</f>
        <v>19</v>
      </c>
      <c r="R45" s="253">
        <f>'fishpond drive p 286 418'!I23</f>
        <v>3</v>
      </c>
      <c r="S45" s="253">
        <f>B21</f>
        <v>6</v>
      </c>
      <c r="T45" s="253">
        <f>B45</f>
        <v>2</v>
      </c>
      <c r="U45" s="251"/>
      <c r="V45" s="253">
        <v>1</v>
      </c>
      <c r="W45" s="253">
        <f>Q45-R45-S45-T45-U45-V45</f>
        <v>7</v>
      </c>
      <c r="X45" s="252"/>
      <c r="Y45" s="8"/>
      <c r="Z45" s="8"/>
      <c r="AA45" s="353"/>
      <c r="AB45" s="251"/>
      <c r="AC45" s="354"/>
      <c r="AD45" s="251"/>
      <c r="AE45" s="252"/>
      <c r="AF45" s="8"/>
      <c r="AG45" s="8"/>
      <c r="AH45" s="8"/>
      <c r="AI45" s="8"/>
      <c r="AJ45" s="8"/>
      <c r="AK45" s="8"/>
      <c r="AL45" s="8"/>
      <c r="AM45" s="8"/>
      <c r="AN45" s="8"/>
      <c r="AO45" s="8"/>
      <c r="AP45" s="8"/>
      <c r="AQ45" s="8"/>
      <c r="AR45" s="8"/>
      <c r="AS45" s="8"/>
      <c r="AT45" s="8"/>
      <c r="AU45" s="8"/>
      <c r="AV45" s="8"/>
      <c r="AW45" s="8"/>
      <c r="AX45" s="8"/>
      <c r="AY45" s="8"/>
      <c r="AZ45" s="353"/>
      <c r="BA45" s="251"/>
      <c r="BB45" s="252"/>
      <c r="BC45" s="8"/>
      <c r="BD45" s="8"/>
      <c r="BE45" s="8"/>
      <c r="BF45" s="353"/>
      <c r="BG45" s="251"/>
      <c r="BH45" s="252"/>
      <c r="BI45" s="8"/>
      <c r="BJ45" s="8"/>
      <c r="BK45" s="8"/>
      <c r="BL45" s="8"/>
    </row>
    <row r="46" ht="17.45" customHeight="1">
      <c r="A46" t="s" s="250">
        <v>1947</v>
      </c>
      <c r="B46" s="253">
        <f>'Hope Drive p.376'!P103</f>
        <v>12</v>
      </c>
      <c r="C46" s="251"/>
      <c r="D46" s="253">
        <v>1</v>
      </c>
      <c r="E46" s="251"/>
      <c r="F46" s="251"/>
      <c r="G46" s="253">
        <v>8</v>
      </c>
      <c r="H46" s="251"/>
      <c r="I46" s="251"/>
      <c r="J46" s="253">
        <v>1</v>
      </c>
      <c r="K46" s="253">
        <v>1</v>
      </c>
      <c r="L46" s="251"/>
      <c r="M46" s="251"/>
      <c r="N46" s="251"/>
      <c r="O46" s="251"/>
      <c r="P46" s="251"/>
      <c r="Q46" s="251"/>
      <c r="R46" s="253">
        <f>'Hope Drive p.376'!I103+'Hope Drive p.376'!J103</f>
        <v>15</v>
      </c>
      <c r="S46" s="251"/>
      <c r="T46" s="251"/>
      <c r="U46" s="253">
        <v>5</v>
      </c>
      <c r="V46" s="253">
        <v>1</v>
      </c>
      <c r="W46" s="251"/>
      <c r="X46" s="252"/>
      <c r="Y46" s="8"/>
      <c r="Z46" s="8"/>
      <c r="AA46" s="353"/>
      <c r="AB46" s="251"/>
      <c r="AC46" s="354"/>
      <c r="AD46" s="251"/>
      <c r="AE46" s="252"/>
      <c r="AF46" s="8"/>
      <c r="AG46" s="8"/>
      <c r="AH46" s="8"/>
      <c r="AI46" s="8"/>
      <c r="AJ46" s="8"/>
      <c r="AK46" s="8"/>
      <c r="AL46" s="8"/>
      <c r="AM46" s="8"/>
      <c r="AN46" s="8"/>
      <c r="AO46" s="8"/>
      <c r="AP46" s="8"/>
      <c r="AQ46" s="8"/>
      <c r="AR46" s="8"/>
      <c r="AS46" s="8"/>
      <c r="AT46" s="8"/>
      <c r="AU46" s="8"/>
      <c r="AV46" s="8"/>
      <c r="AW46" s="8"/>
      <c r="AX46" s="8"/>
      <c r="AY46" s="8"/>
      <c r="AZ46" s="353"/>
      <c r="BA46" s="251"/>
      <c r="BB46" s="252"/>
      <c r="BC46" s="8"/>
      <c r="BD46" s="8"/>
      <c r="BE46" s="8"/>
      <c r="BF46" s="353"/>
      <c r="BG46" s="251"/>
      <c r="BH46" s="252"/>
      <c r="BI46" s="8"/>
      <c r="BJ46" s="8"/>
      <c r="BK46" s="8"/>
      <c r="BL46" s="8"/>
    </row>
    <row r="47" ht="17.45" customHeight="1">
      <c r="A47" t="s" s="250">
        <v>285</v>
      </c>
      <c r="B47" s="253">
        <f>SUM(B26:B45)</f>
        <v>285</v>
      </c>
      <c r="C47" s="253">
        <f>SUM(C26:C45)</f>
        <v>1</v>
      </c>
      <c r="D47" s="253">
        <f>SUM(D26:D45)</f>
        <v>2</v>
      </c>
      <c r="E47" s="253">
        <f>SUM(E26:E45)</f>
        <v>2</v>
      </c>
      <c r="F47" s="253">
        <f>SUM(F26:F45)</f>
        <v>71</v>
      </c>
      <c r="G47" s="253">
        <f>SUM(G26:G46)</f>
        <v>90</v>
      </c>
      <c r="H47" s="253">
        <f>SUM(H26:H45)</f>
        <v>3</v>
      </c>
      <c r="I47" s="253">
        <f>SUM(I26:I45)</f>
        <v>5</v>
      </c>
      <c r="J47" s="253">
        <f>SUM(J26:J45)</f>
        <v>74</v>
      </c>
      <c r="K47" s="251"/>
      <c r="L47" s="253">
        <f>SUM(L26:L45)</f>
        <v>8</v>
      </c>
      <c r="M47" s="253">
        <f>SUM(M26:M45)</f>
        <v>19</v>
      </c>
      <c r="N47" s="253">
        <f>SUM(N26:N45)</f>
        <v>18</v>
      </c>
      <c r="O47" s="253">
        <f>SUM(O26:O45)</f>
        <v>283</v>
      </c>
      <c r="P47" s="253">
        <f>SUM(P26:P45)</f>
        <v>0</v>
      </c>
      <c r="Q47" s="253">
        <f>SUM(Q26:Q45)</f>
        <v>741</v>
      </c>
      <c r="R47" s="253">
        <f>SUM(R26:R45)</f>
        <v>70</v>
      </c>
      <c r="S47" s="253">
        <f>SUM(S26:S45)</f>
        <v>182</v>
      </c>
      <c r="T47" s="253">
        <f>SUM(T26:T45)</f>
        <v>285</v>
      </c>
      <c r="U47" s="253">
        <f>SUM(U26:U46)</f>
        <v>28</v>
      </c>
      <c r="V47" s="253">
        <f>SUM(V26:V45)</f>
        <v>12</v>
      </c>
      <c r="W47" s="253">
        <f>SUM(W26:W45)</f>
        <v>169</v>
      </c>
      <c r="X47" s="252"/>
      <c r="Y47" s="8"/>
      <c r="Z47" s="8"/>
      <c r="AA47" s="353"/>
      <c r="AB47" s="251"/>
      <c r="AC47" s="354"/>
      <c r="AD47" s="251"/>
      <c r="AE47" s="252"/>
      <c r="AF47" s="8"/>
      <c r="AG47" s="8"/>
      <c r="AH47" s="8"/>
      <c r="AI47" s="8"/>
      <c r="AJ47" s="8"/>
      <c r="AK47" s="8"/>
      <c r="AL47" s="8"/>
      <c r="AM47" s="8"/>
      <c r="AN47" s="8"/>
      <c r="AO47" s="8"/>
      <c r="AP47" s="8"/>
      <c r="AQ47" s="8"/>
      <c r="AR47" s="8"/>
      <c r="AS47" s="8"/>
      <c r="AT47" s="8"/>
      <c r="AU47" s="8"/>
      <c r="AV47" s="8"/>
      <c r="AW47" s="8"/>
      <c r="AX47" s="8"/>
      <c r="AY47" s="8"/>
      <c r="AZ47" s="353"/>
      <c r="BA47" s="251"/>
      <c r="BB47" s="252"/>
      <c r="BC47" s="8"/>
      <c r="BD47" s="8"/>
      <c r="BE47" s="8"/>
      <c r="BF47" s="353"/>
      <c r="BG47" s="251"/>
      <c r="BH47" s="252"/>
      <c r="BI47" s="8"/>
      <c r="BJ47" s="8"/>
      <c r="BK47" s="8"/>
      <c r="BL47" s="8"/>
    </row>
    <row r="48" ht="17.45" customHeight="1">
      <c r="A48" s="262"/>
      <c r="B48" t="s" s="260">
        <v>2006</v>
      </c>
      <c r="C48" s="358">
        <f>C47/210</f>
        <v>0.00476190476190476</v>
      </c>
      <c r="D48" s="358">
        <f>D47/210</f>
        <v>0.009523809523809519</v>
      </c>
      <c r="E48" s="358">
        <f>E47/210</f>
        <v>0.009523809523809519</v>
      </c>
      <c r="F48" s="358">
        <f>F47/210</f>
        <v>0.338095238095238</v>
      </c>
      <c r="G48" s="358">
        <f>G47/210</f>
        <v>0.428571428571429</v>
      </c>
      <c r="H48" s="358">
        <f>H47/210</f>
        <v>0.0142857142857143</v>
      </c>
      <c r="I48" s="358">
        <f>I47/210</f>
        <v>0.0238095238095238</v>
      </c>
      <c r="J48" s="358">
        <f>J47/210</f>
        <v>0.352380952380952</v>
      </c>
      <c r="K48" s="358"/>
      <c r="L48" s="358">
        <f>L47/210</f>
        <v>0.0380952380952381</v>
      </c>
      <c r="M48" s="358">
        <f>M47/210</f>
        <v>0.0904761904761905</v>
      </c>
      <c r="N48" s="358">
        <f>N47/210</f>
        <v>0.0857142857142857</v>
      </c>
      <c r="O48" s="359"/>
      <c r="P48" s="251"/>
      <c r="Q48" t="s" s="360">
        <v>2006</v>
      </c>
      <c r="R48" s="361">
        <f>R47/Q47</f>
        <v>0.09446693657219971</v>
      </c>
      <c r="S48" s="361">
        <f>S47/Q47</f>
        <v>0.245614035087719</v>
      </c>
      <c r="T48" s="361">
        <f>T47/Q47</f>
        <v>0.384615384615385</v>
      </c>
      <c r="U48" s="361">
        <f>U47/Q47</f>
        <v>0.0377867746288799</v>
      </c>
      <c r="V48" s="361">
        <f>V47/Q47</f>
        <v>0.0161943319838057</v>
      </c>
      <c r="W48" s="361">
        <f>W47/Q47</f>
        <v>0.228070175438596</v>
      </c>
      <c r="X48" s="362"/>
      <c r="Y48" s="363"/>
      <c r="Z48" s="363"/>
      <c r="AA48" s="353"/>
      <c r="AB48" s="251"/>
      <c r="AC48" s="354"/>
      <c r="AD48" s="251"/>
      <c r="AE48" s="252"/>
      <c r="AF48" s="8"/>
      <c r="AG48" s="8"/>
      <c r="AH48" s="8"/>
      <c r="AI48" s="8"/>
      <c r="AJ48" s="8"/>
      <c r="AK48" s="8"/>
      <c r="AL48" s="8"/>
      <c r="AM48" s="8"/>
      <c r="AN48" s="8"/>
      <c r="AO48" s="8"/>
      <c r="AP48" s="8"/>
      <c r="AQ48" s="8"/>
      <c r="AR48" s="8"/>
      <c r="AS48" s="8"/>
      <c r="AT48" s="8"/>
      <c r="AU48" s="8"/>
      <c r="AV48" s="8"/>
      <c r="AW48" s="8"/>
      <c r="AX48" s="8"/>
      <c r="AY48" s="8"/>
      <c r="AZ48" s="8"/>
      <c r="BA48" s="364"/>
      <c r="BB48" s="8"/>
      <c r="BC48" s="8"/>
      <c r="BD48" s="8"/>
      <c r="BE48" s="8"/>
      <c r="BF48" s="365"/>
      <c r="BG48" s="251"/>
      <c r="BH48" s="252"/>
      <c r="BI48" s="8"/>
      <c r="BJ48" s="8"/>
      <c r="BK48" s="8"/>
      <c r="BL48" s="8"/>
    </row>
    <row r="49" ht="17.45" customHeight="1">
      <c r="A49" s="8"/>
      <c r="B49" s="8"/>
      <c r="C49" s="8"/>
      <c r="D49" s="8"/>
      <c r="E49" s="8"/>
      <c r="F49" s="8"/>
      <c r="G49" s="8"/>
      <c r="H49" s="8"/>
      <c r="I49" s="8"/>
      <c r="J49" s="8"/>
      <c r="K49" s="8"/>
      <c r="L49" s="8"/>
      <c r="M49" s="8"/>
      <c r="N49" s="8"/>
      <c r="O49" s="353"/>
      <c r="P49" s="251"/>
      <c r="Q49" s="252"/>
      <c r="R49" s="8"/>
      <c r="S49" s="8"/>
      <c r="T49" s="8"/>
      <c r="U49" s="8"/>
      <c r="V49" s="8"/>
      <c r="W49" s="8"/>
      <c r="X49" s="8"/>
      <c r="Y49" s="8"/>
      <c r="Z49" s="8"/>
      <c r="AA49" s="353"/>
      <c r="AB49" s="251"/>
      <c r="AC49" s="354"/>
      <c r="AD49" s="251"/>
      <c r="AE49" s="252"/>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353"/>
      <c r="BG49" s="251"/>
      <c r="BH49" s="252"/>
      <c r="BI49" s="8"/>
      <c r="BJ49" s="8"/>
      <c r="BK49" s="8"/>
      <c r="BL49" s="8"/>
    </row>
    <row r="50" ht="17" customHeight="1">
      <c r="A50" s="8"/>
      <c r="B50" s="8"/>
      <c r="C50" s="8"/>
      <c r="D50" s="8"/>
      <c r="E50" s="8"/>
      <c r="F50" s="8"/>
      <c r="G50" s="8"/>
      <c r="H50" s="8"/>
      <c r="I50" s="8"/>
      <c r="J50" s="8"/>
      <c r="K50" s="8"/>
      <c r="L50" s="8"/>
      <c r="M50" s="8"/>
      <c r="N50" s="8"/>
      <c r="O50" s="8"/>
      <c r="P50" s="262"/>
      <c r="Q50" s="8"/>
      <c r="R50" s="8"/>
      <c r="S50" s="8"/>
      <c r="T50" s="8"/>
      <c r="U50" s="8"/>
      <c r="V50" s="8"/>
      <c r="W50" s="8"/>
      <c r="X50" s="8"/>
      <c r="Y50" s="8"/>
      <c r="Z50" s="8"/>
      <c r="AA50" s="353"/>
      <c r="AB50" s="251"/>
      <c r="AC50" s="252"/>
      <c r="AD50" s="262"/>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262"/>
      <c r="BH50" s="8"/>
      <c r="BI50" s="8"/>
      <c r="BJ50" s="8"/>
      <c r="BK50" s="8"/>
      <c r="BL50" s="8"/>
    </row>
    <row r="51" ht="17"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353"/>
      <c r="AB51" s="251"/>
      <c r="AC51" s="252"/>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row>
    <row r="52" ht="17"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353"/>
      <c r="AB52" s="251"/>
      <c r="AC52" s="252"/>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row>
    <row r="53" ht="17"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353"/>
      <c r="AB53" s="251"/>
      <c r="AC53" s="252"/>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row>
    <row r="54" ht="17"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353"/>
      <c r="AB54" s="251"/>
      <c r="AC54" s="252"/>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row>
    <row r="55" ht="17"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353"/>
      <c r="AB55" s="251"/>
      <c r="AC55" s="252"/>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row>
    <row r="56" ht="17"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353"/>
      <c r="AB56" s="251"/>
      <c r="AC56" s="252"/>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row>
    <row r="57" ht="17"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353"/>
      <c r="AB57" s="251"/>
      <c r="AC57" s="252"/>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row>
    <row r="58" ht="17"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353"/>
      <c r="AB58" s="251"/>
      <c r="AC58" s="252"/>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row>
    <row r="59" ht="17"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353"/>
      <c r="AB59" s="251"/>
      <c r="AC59" s="252"/>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row>
    <row r="60" ht="17"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353"/>
      <c r="AB60" s="251"/>
      <c r="AC60" s="252"/>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row>
    <row r="61" ht="17"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353"/>
      <c r="AB61" s="251"/>
      <c r="AC61" s="252"/>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row>
    <row r="62" ht="17"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353"/>
      <c r="AB62" s="251"/>
      <c r="AC62" s="252"/>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row>
    <row r="63" ht="17"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353"/>
      <c r="AB63" s="251"/>
      <c r="AC63" s="252"/>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row>
    <row r="64" ht="17"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353"/>
      <c r="AB64" s="251"/>
      <c r="AC64" s="252"/>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row>
    <row r="65" ht="17"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353"/>
      <c r="AB65" s="251"/>
      <c r="AC65" s="252"/>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row>
    <row r="66" ht="17"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353"/>
      <c r="AB66" s="251"/>
      <c r="AC66" s="252"/>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row>
    <row r="67" ht="17"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353"/>
      <c r="AB67" s="251"/>
      <c r="AC67" s="252"/>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row>
    <row r="68" ht="17"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353"/>
      <c r="AB68" s="251"/>
      <c r="AC68" s="252"/>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row>
    <row r="69" ht="17"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353"/>
      <c r="AB69" s="251"/>
      <c r="AC69" s="252"/>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row>
    <row r="70" ht="17"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353"/>
      <c r="AB70" s="251"/>
      <c r="AC70" s="252"/>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row>
    <row r="71" ht="17"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353"/>
      <c r="AB71" s="251"/>
      <c r="AC71" s="252"/>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row>
    <row r="72" ht="17"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353"/>
      <c r="AB72" s="251"/>
      <c r="AC72" s="252"/>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row>
    <row r="73" ht="17"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353"/>
      <c r="AB73" s="251"/>
      <c r="AC73" s="252"/>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row>
    <row r="74" ht="17"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353"/>
      <c r="AB74" s="251"/>
      <c r="AC74" s="252"/>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row>
    <row r="75" ht="17"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353"/>
      <c r="AB75" s="251"/>
      <c r="AC75" s="252"/>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row>
    <row r="76" ht="17"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353"/>
      <c r="AB76" s="251"/>
      <c r="AC76" s="252"/>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row>
    <row r="77" ht="17"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353"/>
      <c r="AB77" s="251"/>
      <c r="AC77" s="252"/>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row>
    <row r="78" ht="17"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353"/>
      <c r="AB78" s="251"/>
      <c r="AC78" s="252"/>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row>
    <row r="79" ht="17"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353"/>
      <c r="AB79" s="251"/>
      <c r="AC79" s="252"/>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row>
    <row r="80" ht="17"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353"/>
      <c r="AB80" s="251"/>
      <c r="AC80" s="252"/>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row>
    <row r="81" ht="17"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353"/>
      <c r="AB81" s="251"/>
      <c r="AC81" s="252"/>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row>
    <row r="82" ht="17"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353"/>
      <c r="AB82" s="251"/>
      <c r="AC82" s="252"/>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row>
    <row r="83" ht="17"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353"/>
      <c r="AB83" s="251"/>
      <c r="AC83" s="252"/>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row>
    <row r="84" ht="17"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353"/>
      <c r="AB84" s="251"/>
      <c r="AC84" s="252"/>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row>
    <row r="85" ht="17"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353"/>
      <c r="AB85" s="251"/>
      <c r="AC85" s="252"/>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row>
    <row r="86" ht="17"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353"/>
      <c r="AB86" s="251"/>
      <c r="AC86" s="252"/>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row>
    <row r="87" ht="17"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353"/>
      <c r="AB87" s="251"/>
      <c r="AC87" s="252"/>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row>
    <row r="88" ht="17"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353"/>
      <c r="AB88" s="251"/>
      <c r="AC88" s="252"/>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row>
    <row r="89" ht="17"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262"/>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row>
    <row r="90" ht="17"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row>
    <row r="91" ht="17"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row>
    <row r="92" ht="17"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row>
    <row r="93" ht="17"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row>
    <row r="94" ht="17"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row>
    <row r="95" ht="17"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row>
    <row r="96" ht="17"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row>
    <row r="97" ht="17"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row>
    <row r="98" ht="17"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row>
    <row r="99" ht="17"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row>
    <row r="100" ht="17"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row>
    <row r="101" ht="17"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row>
    <row r="102" ht="17"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row>
    <row r="103" ht="17"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row>
    <row r="104" ht="17"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row>
    <row r="105" ht="17"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row>
    <row r="106" ht="17"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row>
    <row r="107" ht="17"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row>
    <row r="108" ht="17"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row>
    <row r="109" ht="17"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row>
    <row r="110" ht="17"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row>
    <row r="111" ht="17"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row>
    <row r="112" ht="17"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row>
    <row r="113" ht="17"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row>
    <row r="114" ht="17"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row>
    <row r="115" ht="17"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row>
    <row r="116" ht="17"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row>
    <row r="117" ht="17"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row>
    <row r="118" ht="17"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row>
    <row r="119" ht="17"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AY47"/>
  <sheetViews>
    <sheetView workbookViewId="0" showGridLines="0" defaultGridColor="1"/>
  </sheetViews>
  <sheetFormatPr defaultColWidth="10.8333" defaultRowHeight="16" customHeight="1" outlineLevelRow="0" outlineLevelCol="0"/>
  <cols>
    <col min="1" max="3" width="10.8516" style="366" customWidth="1"/>
    <col min="4" max="4" width="17.8516" style="366" customWidth="1"/>
    <col min="5" max="5" width="20.1719" style="366" customWidth="1"/>
    <col min="6" max="6" width="22.8516" style="366" customWidth="1"/>
    <col min="7" max="10" width="10.8516" style="366" customWidth="1"/>
    <col min="11" max="11" width="19.1719" style="366" customWidth="1"/>
    <col min="12" max="12" width="7.85156" style="366" customWidth="1"/>
    <col min="13" max="13" width="10" style="366" customWidth="1"/>
    <col min="14" max="14" width="8.67188" style="366" customWidth="1"/>
    <col min="15" max="15" width="18.5" style="366" customWidth="1"/>
    <col min="16" max="16" width="11.5" style="366" customWidth="1"/>
    <col min="17" max="17" width="11.6719" style="366" customWidth="1"/>
    <col min="18" max="18" width="12.3516" style="366" customWidth="1"/>
    <col min="19" max="19" width="10.8516" style="366" customWidth="1"/>
    <col min="20" max="20" width="15.1719" style="366" customWidth="1"/>
    <col min="21" max="23" width="10.8516" style="366" customWidth="1"/>
    <col min="24" max="24" width="31" style="366" customWidth="1"/>
    <col min="25" max="25" width="19.8516" style="366" customWidth="1"/>
    <col min="26" max="26" width="12.1719" style="366" customWidth="1"/>
    <col min="27" max="30" width="16.5" style="366" customWidth="1"/>
    <col min="31" max="31" width="14.6719" style="366" customWidth="1"/>
    <col min="32" max="32" width="10.8516" style="366" customWidth="1"/>
    <col min="33" max="33" width="11" style="366" customWidth="1"/>
    <col min="34" max="34" width="11.1719" style="366" customWidth="1"/>
    <col min="35" max="35" width="7.85156" style="366" customWidth="1"/>
    <col min="36" max="37" width="10.8516" style="366" customWidth="1"/>
    <col min="38" max="38" width="7.35156" style="366" customWidth="1"/>
    <col min="39" max="39" width="10.8516" style="366" customWidth="1"/>
    <col min="40" max="40" width="9.17188" style="366" customWidth="1"/>
    <col min="41" max="41" width="10.8516" style="366" customWidth="1"/>
    <col min="42" max="42" width="12.5" style="366" customWidth="1"/>
    <col min="43" max="43" width="13" style="366" customWidth="1"/>
    <col min="44" max="51" width="10.8516" style="366" customWidth="1"/>
    <col min="52" max="16384" width="10.8516" style="366" customWidth="1"/>
  </cols>
  <sheetData>
    <row r="1" ht="47" customHeight="1">
      <c r="A1" t="s" s="12">
        <v>6</v>
      </c>
      <c r="B1" t="s" s="12">
        <v>7</v>
      </c>
      <c r="C1" t="s" s="13">
        <v>8</v>
      </c>
      <c r="D1" t="s" s="14">
        <v>9</v>
      </c>
      <c r="E1" t="s" s="13">
        <v>10</v>
      </c>
      <c r="F1" t="s" s="14">
        <v>11</v>
      </c>
      <c r="G1" t="s" s="14">
        <v>12</v>
      </c>
      <c r="H1" s="15"/>
      <c r="I1" s="15"/>
      <c r="J1" s="15"/>
      <c r="K1" t="s" s="16">
        <v>13</v>
      </c>
      <c r="L1" s="15"/>
      <c r="M1" s="15"/>
      <c r="N1" s="15"/>
      <c r="O1" s="15"/>
      <c r="P1" s="15"/>
      <c r="Q1" t="s" s="16">
        <v>14</v>
      </c>
      <c r="R1" t="s" s="16">
        <v>105</v>
      </c>
      <c r="S1" t="s" s="16">
        <v>106</v>
      </c>
      <c r="T1" t="s" s="14">
        <v>107</v>
      </c>
      <c r="U1" t="s" s="14">
        <v>16</v>
      </c>
      <c r="V1" t="s" s="14">
        <v>17</v>
      </c>
      <c r="W1" t="s" s="14">
        <v>18</v>
      </c>
      <c r="X1" t="s" s="14">
        <v>19</v>
      </c>
      <c r="Y1" t="s" s="14">
        <v>20</v>
      </c>
      <c r="Z1" t="s" s="14">
        <v>108</v>
      </c>
      <c r="AA1" t="s" s="14">
        <v>22</v>
      </c>
      <c r="AB1" s="15"/>
      <c r="AC1" t="s" s="14">
        <v>23</v>
      </c>
      <c r="AD1" s="15"/>
      <c r="AE1" t="s" s="13">
        <v>109</v>
      </c>
      <c r="AF1" s="15"/>
      <c r="AG1" s="36"/>
      <c r="AH1" s="36"/>
      <c r="AI1" s="15"/>
      <c r="AJ1" s="15"/>
      <c r="AK1" s="17"/>
      <c r="AL1" s="15"/>
      <c r="AM1" s="15"/>
      <c r="AN1" s="15"/>
      <c r="AO1" s="17"/>
      <c r="AP1" s="36"/>
      <c r="AQ1" s="36"/>
      <c r="AR1" s="36"/>
      <c r="AS1" s="36"/>
      <c r="AT1" s="36"/>
      <c r="AU1" s="36"/>
      <c r="AV1" s="36"/>
      <c r="AW1" s="15"/>
      <c r="AX1" s="17"/>
      <c r="AY1" s="17"/>
    </row>
    <row r="2" ht="47" customHeight="1">
      <c r="A2" t="s" s="18">
        <v>119</v>
      </c>
      <c r="B2" t="s" s="19">
        <v>120</v>
      </c>
      <c r="C2" s="20"/>
      <c r="D2" s="15"/>
      <c r="E2" s="17"/>
      <c r="F2" s="15"/>
      <c r="G2" t="s" s="14">
        <v>24</v>
      </c>
      <c r="H2" t="s" s="14">
        <v>25</v>
      </c>
      <c r="I2" t="s" s="14">
        <v>26</v>
      </c>
      <c r="J2" t="s" s="21">
        <v>27</v>
      </c>
      <c r="K2" t="s" s="125">
        <v>28</v>
      </c>
      <c r="L2" t="s" s="23">
        <v>29</v>
      </c>
      <c r="M2" t="s" s="14">
        <v>30</v>
      </c>
      <c r="N2" t="s" s="14">
        <v>31</v>
      </c>
      <c r="O2" t="s" s="14">
        <v>32</v>
      </c>
      <c r="P2" t="s" s="21">
        <v>33</v>
      </c>
      <c r="Q2" t="s" s="24">
        <v>121</v>
      </c>
      <c r="R2" t="s" s="125">
        <v>122</v>
      </c>
      <c r="S2" t="s" s="125">
        <v>123</v>
      </c>
      <c r="T2" t="s" s="284">
        <v>124</v>
      </c>
      <c r="U2" s="15"/>
      <c r="V2" s="15"/>
      <c r="W2" s="15"/>
      <c r="X2" s="15"/>
      <c r="Y2" s="15"/>
      <c r="Z2" s="15"/>
      <c r="AA2" t="s" s="14">
        <v>35</v>
      </c>
      <c r="AB2" t="s" s="14">
        <v>125</v>
      </c>
      <c r="AC2" t="s" s="14">
        <v>37</v>
      </c>
      <c r="AD2" t="s" s="13">
        <v>32</v>
      </c>
      <c r="AE2" s="17"/>
      <c r="AF2" s="8"/>
      <c r="AG2" s="17"/>
      <c r="AH2" s="17"/>
      <c r="AI2" s="17"/>
      <c r="AJ2" s="17"/>
      <c r="AK2" s="17"/>
      <c r="AL2" s="17"/>
      <c r="AM2" s="17"/>
      <c r="AN2" s="17"/>
      <c r="AO2" s="17"/>
      <c r="AP2" s="17"/>
      <c r="AQ2" s="17"/>
      <c r="AR2" s="17"/>
      <c r="AS2" s="17"/>
      <c r="AT2" s="17"/>
      <c r="AU2" s="17"/>
      <c r="AV2" s="17"/>
      <c r="AW2" s="17"/>
      <c r="AX2" s="17"/>
      <c r="AY2" s="17"/>
    </row>
    <row r="3" ht="19" customHeight="1">
      <c r="A3" s="31"/>
      <c r="B3" s="31"/>
      <c r="C3" s="17"/>
      <c r="D3" s="17"/>
      <c r="E3" s="17"/>
      <c r="F3" s="15"/>
      <c r="G3" s="15"/>
      <c r="H3" s="15"/>
      <c r="I3" s="15"/>
      <c r="J3" s="15"/>
      <c r="K3" s="148"/>
      <c r="L3" s="15"/>
      <c r="M3" s="15"/>
      <c r="N3" s="15"/>
      <c r="O3" s="15"/>
      <c r="P3" s="15"/>
      <c r="Q3" s="148"/>
      <c r="R3" s="148"/>
      <c r="S3" s="148"/>
      <c r="T3" s="15"/>
      <c r="U3" s="15"/>
      <c r="V3" s="15"/>
      <c r="W3" s="15"/>
      <c r="X3" s="15"/>
      <c r="Y3" s="15"/>
      <c r="Z3" s="15"/>
      <c r="AA3" s="15"/>
      <c r="AB3" s="15"/>
      <c r="AC3" s="15"/>
      <c r="AD3" s="15"/>
      <c r="AE3" s="17"/>
      <c r="AF3" s="8"/>
      <c r="AG3" s="17"/>
      <c r="AH3" s="17"/>
      <c r="AI3" s="17"/>
      <c r="AJ3" s="17"/>
      <c r="AK3" s="17"/>
      <c r="AL3" s="17"/>
      <c r="AM3" s="17"/>
      <c r="AN3" s="17"/>
      <c r="AO3" s="17"/>
      <c r="AP3" s="17"/>
      <c r="AQ3" s="17"/>
      <c r="AR3" s="17"/>
      <c r="AS3" s="17"/>
      <c r="AT3" s="17"/>
      <c r="AU3" s="17"/>
      <c r="AV3" s="17"/>
      <c r="AW3" s="17"/>
      <c r="AX3" s="17"/>
      <c r="AY3" s="17"/>
    </row>
    <row r="4" ht="17.45" customHeight="1">
      <c r="A4" s="17"/>
      <c r="B4" s="17"/>
      <c r="C4" s="17"/>
      <c r="D4" s="17"/>
      <c r="E4" s="17"/>
      <c r="F4" s="17"/>
      <c r="G4" s="17"/>
      <c r="H4" s="17"/>
      <c r="I4" s="17"/>
      <c r="J4" s="17"/>
      <c r="K4" s="17"/>
      <c r="L4" s="17"/>
      <c r="M4" s="36"/>
      <c r="N4" s="36"/>
      <c r="O4" s="36"/>
      <c r="P4" s="36"/>
      <c r="Q4" s="17"/>
      <c r="R4" s="36"/>
      <c r="S4" s="36"/>
      <c r="T4" s="17"/>
      <c r="U4" s="17"/>
      <c r="V4" s="17"/>
      <c r="W4" s="17"/>
      <c r="X4" s="17"/>
      <c r="Y4" s="17"/>
      <c r="Z4" s="17"/>
      <c r="AA4" s="17"/>
      <c r="AB4" s="17"/>
      <c r="AC4" s="17"/>
      <c r="AD4" s="17"/>
      <c r="AE4" s="17"/>
      <c r="AF4" s="8"/>
      <c r="AG4" s="17"/>
      <c r="AH4" s="17"/>
      <c r="AI4" s="17"/>
      <c r="AJ4" s="17"/>
      <c r="AK4" s="17"/>
      <c r="AL4" s="17"/>
      <c r="AM4" s="17"/>
      <c r="AN4" s="17"/>
      <c r="AO4" s="17"/>
      <c r="AP4" s="17"/>
      <c r="AQ4" s="17"/>
      <c r="AR4" s="17"/>
      <c r="AS4" s="17"/>
      <c r="AT4" s="17"/>
      <c r="AU4" s="17"/>
      <c r="AV4" s="17"/>
      <c r="AW4" s="17"/>
      <c r="AX4" s="17"/>
      <c r="AY4" s="17"/>
    </row>
    <row r="5" ht="17.45" customHeight="1">
      <c r="A5" s="17"/>
      <c r="B5" s="17"/>
      <c r="C5" s="17"/>
      <c r="D5" s="17"/>
      <c r="E5" s="17"/>
      <c r="F5" s="17"/>
      <c r="G5" s="17"/>
      <c r="H5" s="17"/>
      <c r="I5" s="17"/>
      <c r="J5" s="17"/>
      <c r="K5" s="17"/>
      <c r="L5" s="17"/>
      <c r="M5" s="36"/>
      <c r="N5" s="36"/>
      <c r="O5" s="36"/>
      <c r="P5" s="36"/>
      <c r="Q5" s="36"/>
      <c r="R5" s="36"/>
      <c r="S5" s="36"/>
      <c r="T5" s="36"/>
      <c r="U5" s="17"/>
      <c r="V5" s="17"/>
      <c r="W5" s="17"/>
      <c r="X5" s="17"/>
      <c r="Y5" s="17"/>
      <c r="Z5" s="17"/>
      <c r="AA5" s="17"/>
      <c r="AB5" s="17"/>
      <c r="AC5" s="17"/>
      <c r="AD5" s="17"/>
      <c r="AE5" s="17"/>
      <c r="AF5" s="8"/>
      <c r="AG5" s="17"/>
      <c r="AH5" s="17"/>
      <c r="AI5" s="17"/>
      <c r="AJ5" s="17"/>
      <c r="AK5" s="17"/>
      <c r="AL5" s="17"/>
      <c r="AM5" s="17"/>
      <c r="AN5" s="17"/>
      <c r="AO5" s="17"/>
      <c r="AP5" s="17"/>
      <c r="AQ5" s="17"/>
      <c r="AR5" s="17"/>
      <c r="AS5" s="17"/>
      <c r="AT5" s="17"/>
      <c r="AU5" s="17"/>
      <c r="AV5" s="17"/>
      <c r="AW5" s="17"/>
      <c r="AX5" s="17"/>
      <c r="AY5" s="17"/>
    </row>
    <row r="6" ht="17.45" customHeight="1">
      <c r="A6" s="17"/>
      <c r="B6" s="17"/>
      <c r="C6" s="17"/>
      <c r="D6" s="17"/>
      <c r="E6" s="17"/>
      <c r="F6" s="17"/>
      <c r="G6" s="17"/>
      <c r="H6" s="17"/>
      <c r="I6" s="17"/>
      <c r="J6" s="17"/>
      <c r="K6" s="17"/>
      <c r="L6" s="17"/>
      <c r="M6" s="36"/>
      <c r="N6" s="36"/>
      <c r="O6" s="36"/>
      <c r="P6" s="36"/>
      <c r="Q6" s="36"/>
      <c r="R6" s="36"/>
      <c r="S6" s="36"/>
      <c r="T6" s="36"/>
      <c r="U6" s="17"/>
      <c r="V6" s="17"/>
      <c r="W6" s="17"/>
      <c r="X6" s="17"/>
      <c r="Y6" s="17"/>
      <c r="Z6" s="17"/>
      <c r="AA6" s="17"/>
      <c r="AB6" s="17"/>
      <c r="AC6" s="17"/>
      <c r="AD6" s="17"/>
      <c r="AE6" s="17"/>
      <c r="AF6" s="8"/>
      <c r="AG6" s="17"/>
      <c r="AH6" s="17"/>
      <c r="AI6" s="17"/>
      <c r="AJ6" s="17"/>
      <c r="AK6" s="17"/>
      <c r="AL6" s="17"/>
      <c r="AM6" s="17"/>
      <c r="AN6" s="17"/>
      <c r="AO6" s="17"/>
      <c r="AP6" s="17"/>
      <c r="AQ6" s="17"/>
      <c r="AR6" s="17"/>
      <c r="AS6" s="17"/>
      <c r="AT6" s="17"/>
      <c r="AU6" s="17"/>
      <c r="AV6" s="17"/>
      <c r="AW6" s="17"/>
      <c r="AX6" s="17"/>
      <c r="AY6" s="17"/>
    </row>
    <row r="7" ht="17.45" customHeight="1">
      <c r="A7" s="17"/>
      <c r="B7" s="17"/>
      <c r="C7" s="17"/>
      <c r="D7" s="17"/>
      <c r="E7" s="17"/>
      <c r="F7" s="17"/>
      <c r="G7" s="17"/>
      <c r="H7" s="17"/>
      <c r="I7" s="17"/>
      <c r="J7" s="17"/>
      <c r="K7" s="17"/>
      <c r="L7" s="17"/>
      <c r="M7" s="36"/>
      <c r="N7" s="36"/>
      <c r="O7" s="36"/>
      <c r="P7" s="36"/>
      <c r="Q7" s="36"/>
      <c r="R7" s="36"/>
      <c r="S7" s="36"/>
      <c r="T7" s="36"/>
      <c r="U7" s="17"/>
      <c r="V7" s="17"/>
      <c r="W7" s="17"/>
      <c r="X7" s="17"/>
      <c r="Y7" s="17"/>
      <c r="Z7" s="17"/>
      <c r="AA7" s="17"/>
      <c r="AB7" s="17"/>
      <c r="AC7" s="17"/>
      <c r="AD7" s="17"/>
      <c r="AE7" s="17"/>
      <c r="AF7" s="8"/>
      <c r="AG7" s="17"/>
      <c r="AH7" s="17"/>
      <c r="AI7" s="17"/>
      <c r="AJ7" s="17"/>
      <c r="AK7" s="17"/>
      <c r="AL7" s="17"/>
      <c r="AM7" s="17"/>
      <c r="AN7" s="17"/>
      <c r="AO7" s="17"/>
      <c r="AP7" s="17"/>
      <c r="AQ7" s="17"/>
      <c r="AR7" s="17"/>
      <c r="AS7" s="17"/>
      <c r="AT7" s="17"/>
      <c r="AU7" s="17"/>
      <c r="AV7" s="17"/>
      <c r="AW7" s="17"/>
      <c r="AX7" s="17"/>
      <c r="AY7" s="17"/>
    </row>
    <row r="8" ht="17.45" customHeight="1">
      <c r="A8" s="17"/>
      <c r="B8" s="17"/>
      <c r="C8" s="17"/>
      <c r="D8" s="17"/>
      <c r="E8" s="17"/>
      <c r="F8" s="17"/>
      <c r="G8" s="17"/>
      <c r="H8" s="17"/>
      <c r="I8" s="17"/>
      <c r="J8" s="17"/>
      <c r="K8" s="17"/>
      <c r="L8" s="17"/>
      <c r="M8" s="36"/>
      <c r="N8" s="36"/>
      <c r="O8" s="36"/>
      <c r="P8" s="36"/>
      <c r="Q8" s="36"/>
      <c r="R8" s="36"/>
      <c r="S8" s="36"/>
      <c r="T8" s="36"/>
      <c r="U8" s="17"/>
      <c r="V8" s="17"/>
      <c r="W8" s="17"/>
      <c r="X8" s="17"/>
      <c r="Y8" s="17"/>
      <c r="Z8" s="17"/>
      <c r="AA8" s="17"/>
      <c r="AB8" s="17"/>
      <c r="AC8" s="17"/>
      <c r="AD8" s="17"/>
      <c r="AE8" s="17"/>
      <c r="AF8" s="8"/>
      <c r="AG8" s="17"/>
      <c r="AH8" s="17"/>
      <c r="AI8" s="17"/>
      <c r="AJ8" s="17"/>
      <c r="AK8" s="17"/>
      <c r="AL8" s="17"/>
      <c r="AM8" s="17"/>
      <c r="AN8" s="17"/>
      <c r="AO8" s="17"/>
      <c r="AP8" s="17"/>
      <c r="AQ8" s="17"/>
      <c r="AR8" s="17"/>
      <c r="AS8" s="17"/>
      <c r="AT8" s="17"/>
      <c r="AU8" s="17"/>
      <c r="AV8" s="17"/>
      <c r="AW8" s="17"/>
      <c r="AX8" s="17"/>
      <c r="AY8" s="17"/>
    </row>
    <row r="9" ht="17.45" customHeight="1">
      <c r="A9" s="17"/>
      <c r="B9" s="17"/>
      <c r="C9" s="17"/>
      <c r="D9" s="17"/>
      <c r="E9" s="17"/>
      <c r="F9" s="17"/>
      <c r="G9" s="17"/>
      <c r="H9" s="17"/>
      <c r="I9" s="17"/>
      <c r="J9" s="17"/>
      <c r="K9" s="17"/>
      <c r="L9" s="17"/>
      <c r="M9" s="36"/>
      <c r="N9" s="36"/>
      <c r="O9" s="36"/>
      <c r="P9" s="36"/>
      <c r="Q9" s="17"/>
      <c r="R9" s="36"/>
      <c r="S9" s="36"/>
      <c r="T9" s="17"/>
      <c r="U9" s="17"/>
      <c r="V9" s="17"/>
      <c r="W9" s="17"/>
      <c r="X9" s="17"/>
      <c r="Y9" s="17"/>
      <c r="Z9" s="17"/>
      <c r="AA9" s="17"/>
      <c r="AB9" s="17"/>
      <c r="AC9" s="17"/>
      <c r="AD9" s="17"/>
      <c r="AE9" s="17"/>
      <c r="AF9" s="8"/>
      <c r="AG9" s="17"/>
      <c r="AH9" s="17"/>
      <c r="AI9" s="17"/>
      <c r="AJ9" s="17"/>
      <c r="AK9" s="17"/>
      <c r="AL9" s="17"/>
      <c r="AM9" s="17"/>
      <c r="AN9" s="17"/>
      <c r="AO9" s="17"/>
      <c r="AP9" s="17"/>
      <c r="AQ9" s="17"/>
      <c r="AR9" s="17"/>
      <c r="AS9" s="17"/>
      <c r="AT9" s="17"/>
      <c r="AU9" s="17"/>
      <c r="AV9" s="17"/>
      <c r="AW9" s="17"/>
      <c r="AX9" s="17"/>
      <c r="AY9" s="17"/>
    </row>
    <row r="10" ht="17.45" customHeight="1">
      <c r="A10" s="17"/>
      <c r="B10" s="17"/>
      <c r="C10" s="17"/>
      <c r="D10" s="17"/>
      <c r="E10" s="17"/>
      <c r="F10" s="17"/>
      <c r="G10" s="17"/>
      <c r="H10" s="17"/>
      <c r="I10" s="17"/>
      <c r="J10" s="17"/>
      <c r="K10" s="17"/>
      <c r="L10" s="17"/>
      <c r="M10" s="36"/>
      <c r="N10" s="36"/>
      <c r="O10" s="36"/>
      <c r="P10" s="36"/>
      <c r="Q10" s="36"/>
      <c r="R10" s="36"/>
      <c r="S10" s="36"/>
      <c r="T10" s="36"/>
      <c r="U10" s="17"/>
      <c r="V10" s="17"/>
      <c r="W10" s="17"/>
      <c r="X10" s="17"/>
      <c r="Y10" s="17"/>
      <c r="Z10" s="17"/>
      <c r="AA10" s="17"/>
      <c r="AB10" s="17"/>
      <c r="AC10" s="17"/>
      <c r="AD10" s="17"/>
      <c r="AE10" s="17"/>
      <c r="AF10" s="8"/>
      <c r="AG10" s="17"/>
      <c r="AH10" s="17"/>
      <c r="AI10" s="17"/>
      <c r="AJ10" s="17"/>
      <c r="AK10" s="17"/>
      <c r="AL10" s="17"/>
      <c r="AM10" s="17"/>
      <c r="AN10" s="17"/>
      <c r="AO10" s="17"/>
      <c r="AP10" s="17"/>
      <c r="AQ10" s="17"/>
      <c r="AR10" s="17"/>
      <c r="AS10" s="17"/>
      <c r="AT10" s="17"/>
      <c r="AU10" s="17"/>
      <c r="AV10" s="17"/>
      <c r="AW10" s="17"/>
      <c r="AX10" s="17"/>
      <c r="AY10" s="17"/>
    </row>
    <row r="11" ht="17.45" customHeight="1">
      <c r="A11" s="17"/>
      <c r="B11" s="17"/>
      <c r="C11" s="17"/>
      <c r="D11" s="17"/>
      <c r="E11" s="17"/>
      <c r="F11" s="17"/>
      <c r="G11" s="17"/>
      <c r="H11" s="17"/>
      <c r="I11" s="17"/>
      <c r="J11" s="17"/>
      <c r="K11" s="17"/>
      <c r="L11" s="17"/>
      <c r="M11" s="36"/>
      <c r="N11" s="36"/>
      <c r="O11" s="36"/>
      <c r="P11" s="36"/>
      <c r="Q11" s="36"/>
      <c r="R11" s="36"/>
      <c r="S11" s="36"/>
      <c r="T11" s="36"/>
      <c r="U11" s="17"/>
      <c r="V11" s="17"/>
      <c r="W11" s="17"/>
      <c r="X11" s="17"/>
      <c r="Y11" s="17"/>
      <c r="Z11" s="17"/>
      <c r="AA11" s="17"/>
      <c r="AB11" s="17"/>
      <c r="AC11" s="17"/>
      <c r="AD11" s="17"/>
      <c r="AE11" s="17"/>
      <c r="AF11" s="8"/>
      <c r="AG11" s="17"/>
      <c r="AH11" s="17"/>
      <c r="AI11" s="17"/>
      <c r="AJ11" s="17"/>
      <c r="AK11" s="17"/>
      <c r="AL11" s="17"/>
      <c r="AM11" s="17"/>
      <c r="AN11" s="17"/>
      <c r="AO11" s="17"/>
      <c r="AP11" s="17"/>
      <c r="AQ11" s="17"/>
      <c r="AR11" s="17"/>
      <c r="AS11" s="17"/>
      <c r="AT11" s="17"/>
      <c r="AU11" s="17"/>
      <c r="AV11" s="17"/>
      <c r="AW11" s="17"/>
      <c r="AX11" s="17"/>
      <c r="AY11" s="17"/>
    </row>
    <row r="12" ht="17" customHeight="1">
      <c r="A12" t="s" s="13">
        <v>285</v>
      </c>
      <c r="B12" s="17"/>
      <c r="C12" s="17"/>
      <c r="D12" s="17"/>
      <c r="E12" s="17"/>
      <c r="F12" s="17"/>
      <c r="G12" s="29">
        <f>SUM(G3:G11)</f>
        <v>0</v>
      </c>
      <c r="H12" s="29">
        <f>SUM(H3:H11)</f>
        <v>0</v>
      </c>
      <c r="I12" s="29">
        <f>SUM(I3:I11)</f>
        <v>0</v>
      </c>
      <c r="J12" s="29">
        <f>SUM(J3:J11)</f>
        <v>0</v>
      </c>
      <c r="K12" s="29">
        <f>SUM(K3:K11)</f>
        <v>0</v>
      </c>
      <c r="L12" s="29">
        <f>SUM(L3:L11)</f>
        <v>0</v>
      </c>
      <c r="M12" s="29">
        <f>SUM(M3:M11)</f>
        <v>0</v>
      </c>
      <c r="N12" s="29">
        <f>SUM(N3:N11)</f>
        <v>0</v>
      </c>
      <c r="O12" s="29">
        <f>SUM(O3:O11)</f>
        <v>0</v>
      </c>
      <c r="P12" s="29">
        <f>SUM(P3:P11)</f>
        <v>0</v>
      </c>
      <c r="Q12" s="29">
        <f>SUM(Q3:Q11)</f>
        <v>0</v>
      </c>
      <c r="R12" s="29">
        <f>SUM(R3:R11)</f>
        <v>0</v>
      </c>
      <c r="S12" s="29">
        <f>SUM(S3:S11)</f>
        <v>0</v>
      </c>
      <c r="T12" s="29">
        <f>SUM(T3:T11)</f>
        <v>0</v>
      </c>
      <c r="U12" s="29">
        <f>SUM(U3:U11)</f>
        <v>0</v>
      </c>
      <c r="V12" s="29">
        <f>SUM(V3:V11)</f>
        <v>0</v>
      </c>
      <c r="W12" s="29">
        <f>SUM(W3:W11)</f>
        <v>0</v>
      </c>
      <c r="X12" s="29">
        <f>SUM(X3:X11)</f>
        <v>0</v>
      </c>
      <c r="Y12" s="29">
        <f>SUM(Y3:Y11)</f>
        <v>0</v>
      </c>
      <c r="Z12" s="29">
        <f>SUM(Z3:Z11)</f>
        <v>0</v>
      </c>
      <c r="AA12" s="29">
        <f>SUM(AA3:AA11)</f>
        <v>0</v>
      </c>
      <c r="AB12" s="29">
        <f>SUM(AB3:AB11)</f>
        <v>0</v>
      </c>
      <c r="AC12" s="29">
        <f>SUM(AC3:AC11)</f>
        <v>0</v>
      </c>
      <c r="AD12" s="29">
        <f>SUM(AD3:AD11)</f>
        <v>0</v>
      </c>
      <c r="AE12" s="17"/>
      <c r="AF12" s="8"/>
      <c r="AG12" s="17"/>
      <c r="AH12" s="17"/>
      <c r="AI12" s="17"/>
      <c r="AJ12" s="17"/>
      <c r="AK12" s="17"/>
      <c r="AL12" s="17"/>
      <c r="AM12" s="17"/>
      <c r="AN12" s="17"/>
      <c r="AO12" s="17"/>
      <c r="AP12" s="17"/>
      <c r="AQ12" s="17"/>
      <c r="AR12" s="17"/>
      <c r="AS12" s="17"/>
      <c r="AT12" s="17"/>
      <c r="AU12" s="17"/>
      <c r="AV12" s="17"/>
      <c r="AW12" s="17"/>
      <c r="AX12" s="17"/>
      <c r="AY12" s="17"/>
    </row>
    <row r="13" ht="17.45" customHeight="1">
      <c r="A13" s="17"/>
      <c r="B13" s="17"/>
      <c r="C13" s="17"/>
      <c r="D13" s="17"/>
      <c r="E13" s="17"/>
      <c r="F13" s="17"/>
      <c r="G13" s="29">
        <f>G12+H12+I12+J12</f>
        <v>0</v>
      </c>
      <c r="H13" s="17"/>
      <c r="I13" s="17"/>
      <c r="J13" s="17"/>
      <c r="K13" s="29">
        <f>K12+L12+M12+N12+O12+P12</f>
        <v>0</v>
      </c>
      <c r="L13" s="17"/>
      <c r="M13" s="36"/>
      <c r="N13" s="36"/>
      <c r="O13" s="36"/>
      <c r="P13" s="36"/>
      <c r="Q13" s="36">
        <f>Q12/K13</f>
      </c>
      <c r="R13" s="36"/>
      <c r="S13" s="36"/>
      <c r="T13" s="36"/>
      <c r="U13" s="17"/>
      <c r="V13" s="17"/>
      <c r="W13" s="17"/>
      <c r="X13" s="17"/>
      <c r="Y13" s="17"/>
      <c r="Z13" s="17"/>
      <c r="AA13" s="17"/>
      <c r="AB13" s="17"/>
      <c r="AC13" s="17"/>
      <c r="AD13" s="17"/>
      <c r="AE13" s="17"/>
      <c r="AF13" s="8"/>
      <c r="AG13" s="17"/>
      <c r="AH13" s="17"/>
      <c r="AI13" s="17"/>
      <c r="AJ13" s="17"/>
      <c r="AK13" s="17"/>
      <c r="AL13" s="17"/>
      <c r="AM13" s="17"/>
      <c r="AN13" s="17"/>
      <c r="AO13" s="17"/>
      <c r="AP13" s="17"/>
      <c r="AQ13" s="17"/>
      <c r="AR13" s="17"/>
      <c r="AS13" s="17"/>
      <c r="AT13" s="17"/>
      <c r="AU13" s="17"/>
      <c r="AV13" s="17"/>
      <c r="AW13" s="17"/>
      <c r="AX13" s="17"/>
      <c r="AY13" s="17"/>
    </row>
    <row r="14" ht="17.45" customHeight="1">
      <c r="A14" s="17"/>
      <c r="B14" s="17"/>
      <c r="C14" s="17"/>
      <c r="D14" s="17"/>
      <c r="E14" s="17"/>
      <c r="F14" s="17"/>
      <c r="G14" s="17"/>
      <c r="H14" s="17"/>
      <c r="I14" s="17"/>
      <c r="J14" s="17"/>
      <c r="K14" s="17"/>
      <c r="L14" s="17"/>
      <c r="M14" s="36"/>
      <c r="N14" s="36"/>
      <c r="O14" s="36"/>
      <c r="P14" s="36"/>
      <c r="Q14" s="36"/>
      <c r="R14" s="36"/>
      <c r="S14" s="36"/>
      <c r="T14" s="36"/>
      <c r="U14" s="17"/>
      <c r="V14" s="17"/>
      <c r="W14" s="17"/>
      <c r="X14" s="17"/>
      <c r="Y14" s="17"/>
      <c r="Z14" s="17"/>
      <c r="AA14" s="17"/>
      <c r="AB14" s="17"/>
      <c r="AC14" s="17"/>
      <c r="AD14" s="17"/>
      <c r="AE14" s="17"/>
      <c r="AF14" s="8"/>
      <c r="AG14" s="17"/>
      <c r="AH14" s="17"/>
      <c r="AI14" s="17"/>
      <c r="AJ14" s="17"/>
      <c r="AK14" s="17"/>
      <c r="AL14" s="17"/>
      <c r="AM14" s="17"/>
      <c r="AN14" s="17"/>
      <c r="AO14" s="17"/>
      <c r="AP14" s="17"/>
      <c r="AQ14" s="17"/>
      <c r="AR14" s="17"/>
      <c r="AS14" s="17"/>
      <c r="AT14" s="17"/>
      <c r="AU14" s="17"/>
      <c r="AV14" s="17"/>
      <c r="AW14" s="17"/>
      <c r="AX14" s="17"/>
      <c r="AY14" s="17"/>
    </row>
    <row r="15" ht="17.45" customHeight="1">
      <c r="A15" s="299"/>
      <c r="B15" s="299"/>
      <c r="C15" s="299"/>
      <c r="D15" s="146"/>
      <c r="E15" s="299"/>
      <c r="F15" s="146"/>
      <c r="G15" s="146"/>
      <c r="H15" s="146"/>
      <c r="I15" s="146"/>
      <c r="J15" s="146"/>
      <c r="K15" s="287"/>
      <c r="L15" s="146"/>
      <c r="M15" s="146"/>
      <c r="N15" s="146"/>
      <c r="O15" s="146"/>
      <c r="P15" s="146"/>
      <c r="Q15" s="287"/>
      <c r="R15" s="287"/>
      <c r="S15" s="287"/>
      <c r="T15" s="146"/>
      <c r="U15" s="146"/>
      <c r="V15" s="146"/>
      <c r="W15" s="146"/>
      <c r="X15" s="146"/>
      <c r="Y15" s="146"/>
      <c r="Z15" s="146"/>
      <c r="AA15" s="146"/>
      <c r="AB15" s="146"/>
      <c r="AC15" s="146"/>
      <c r="AD15" s="146"/>
      <c r="AE15" s="17"/>
      <c r="AF15" s="8"/>
      <c r="AG15" s="17"/>
      <c r="AH15" s="17"/>
      <c r="AI15" s="17"/>
      <c r="AJ15" s="17"/>
      <c r="AK15" s="17"/>
      <c r="AL15" s="17"/>
      <c r="AM15" s="17"/>
      <c r="AN15" s="17"/>
      <c r="AO15" s="17"/>
      <c r="AP15" s="17"/>
      <c r="AQ15" s="17"/>
      <c r="AR15" s="17"/>
      <c r="AS15" s="17"/>
      <c r="AT15" s="17"/>
      <c r="AU15" s="17"/>
      <c r="AV15" s="17"/>
      <c r="AW15" s="17"/>
      <c r="AX15" s="17"/>
      <c r="AY15" s="17"/>
    </row>
    <row r="16" ht="28" customHeight="1">
      <c r="A16" s="299"/>
      <c r="B16" s="299"/>
      <c r="C16" s="299"/>
      <c r="D16" s="146"/>
      <c r="E16" s="299"/>
      <c r="F16" s="146"/>
      <c r="G16" s="146"/>
      <c r="H16" s="146"/>
      <c r="I16" s="146"/>
      <c r="J16" s="292"/>
      <c r="K16" s="296"/>
      <c r="L16" s="294"/>
      <c r="M16" s="146"/>
      <c r="N16" s="146"/>
      <c r="O16" s="146"/>
      <c r="P16" s="292"/>
      <c r="Q16" s="367"/>
      <c r="R16" s="296"/>
      <c r="S16" s="296"/>
      <c r="T16" s="368"/>
      <c r="U16" s="146"/>
      <c r="V16" s="146"/>
      <c r="W16" s="146"/>
      <c r="X16" s="146"/>
      <c r="Y16" s="146"/>
      <c r="Z16" s="146"/>
      <c r="AA16" s="146"/>
      <c r="AB16" s="146"/>
      <c r="AC16" s="146"/>
      <c r="AD16" s="299"/>
      <c r="AE16" s="17"/>
      <c r="AF16" s="8"/>
      <c r="AG16" s="17"/>
      <c r="AH16" s="17"/>
      <c r="AI16" s="17"/>
      <c r="AJ16" s="17"/>
      <c r="AK16" s="17"/>
      <c r="AL16" s="17"/>
      <c r="AM16" s="17"/>
      <c r="AN16" s="17"/>
      <c r="AO16" s="17"/>
      <c r="AP16" s="17"/>
      <c r="AQ16" s="17"/>
      <c r="AR16" s="17"/>
      <c r="AS16" s="17"/>
      <c r="AT16" s="17"/>
      <c r="AU16" s="17"/>
      <c r="AV16" s="17"/>
      <c r="AW16" s="17"/>
      <c r="AX16" s="17"/>
      <c r="AY16" s="17"/>
    </row>
    <row r="17" ht="17.45" customHeight="1">
      <c r="A17" s="17"/>
      <c r="B17" s="17"/>
      <c r="C17" s="17"/>
      <c r="D17" s="17"/>
      <c r="E17" s="17"/>
      <c r="F17" s="17"/>
      <c r="G17" s="17"/>
      <c r="H17" s="17"/>
      <c r="I17" s="17"/>
      <c r="J17" s="17"/>
      <c r="K17" s="31"/>
      <c r="L17" s="17"/>
      <c r="M17" s="36"/>
      <c r="N17" s="36"/>
      <c r="O17" s="36"/>
      <c r="P17" s="36"/>
      <c r="Q17" s="58"/>
      <c r="R17" s="58"/>
      <c r="S17" s="58"/>
      <c r="T17" s="36"/>
      <c r="U17" s="36"/>
      <c r="V17" s="36"/>
      <c r="W17" s="36"/>
      <c r="X17" s="17"/>
      <c r="Y17" s="17"/>
      <c r="Z17" s="17"/>
      <c r="AA17" s="17"/>
      <c r="AB17" s="17"/>
      <c r="AC17" s="17"/>
      <c r="AD17" s="17"/>
      <c r="AE17" s="17"/>
      <c r="AF17" s="8"/>
      <c r="AG17" s="17"/>
      <c r="AH17" s="17"/>
      <c r="AI17" s="17"/>
      <c r="AJ17" s="17"/>
      <c r="AK17" s="17"/>
      <c r="AL17" s="17"/>
      <c r="AM17" s="17"/>
      <c r="AN17" s="17"/>
      <c r="AO17" s="17"/>
      <c r="AP17" s="17"/>
      <c r="AQ17" s="17"/>
      <c r="AR17" s="17"/>
      <c r="AS17" s="17"/>
      <c r="AT17" s="17"/>
      <c r="AU17" s="17"/>
      <c r="AV17" s="17"/>
      <c r="AW17" s="17"/>
      <c r="AX17" s="17"/>
      <c r="AY17" s="17"/>
    </row>
    <row r="18" ht="17.45" customHeight="1">
      <c r="A18" s="17"/>
      <c r="B18" s="17"/>
      <c r="C18" s="17"/>
      <c r="D18" s="17"/>
      <c r="E18" s="17"/>
      <c r="F18" s="17"/>
      <c r="G18" s="17"/>
      <c r="H18" s="17"/>
      <c r="I18" s="17"/>
      <c r="J18" s="17"/>
      <c r="K18" s="17"/>
      <c r="L18" s="17"/>
      <c r="M18" s="36"/>
      <c r="N18" s="36"/>
      <c r="O18" s="36"/>
      <c r="P18" s="36"/>
      <c r="Q18" s="36"/>
      <c r="R18" s="36"/>
      <c r="S18" s="36"/>
      <c r="T18" s="36"/>
      <c r="U18" s="36"/>
      <c r="V18" s="36"/>
      <c r="W18" s="36"/>
      <c r="X18" s="17"/>
      <c r="Y18" s="17"/>
      <c r="Z18" s="17"/>
      <c r="AA18" s="17"/>
      <c r="AB18" s="17"/>
      <c r="AC18" s="17"/>
      <c r="AD18" s="17"/>
      <c r="AE18" s="17"/>
      <c r="AF18" s="8"/>
      <c r="AG18" s="17"/>
      <c r="AH18" s="17"/>
      <c r="AI18" s="17"/>
      <c r="AJ18" s="17"/>
      <c r="AK18" s="17"/>
      <c r="AL18" s="17"/>
      <c r="AM18" s="17"/>
      <c r="AN18" s="17"/>
      <c r="AO18" s="17"/>
      <c r="AP18" s="17"/>
      <c r="AQ18" s="17"/>
      <c r="AR18" s="17"/>
      <c r="AS18" s="17"/>
      <c r="AT18" s="17"/>
      <c r="AU18" s="17"/>
      <c r="AV18" s="17"/>
      <c r="AW18" s="17"/>
      <c r="AX18" s="17"/>
      <c r="AY18" s="17"/>
    </row>
    <row r="19" ht="17.45" customHeight="1">
      <c r="A19" s="17"/>
      <c r="B19" s="17"/>
      <c r="C19" s="17"/>
      <c r="D19" s="17"/>
      <c r="E19" s="17"/>
      <c r="F19" s="17"/>
      <c r="G19" s="17"/>
      <c r="H19" s="17"/>
      <c r="I19" s="17"/>
      <c r="J19" s="17"/>
      <c r="K19" s="17"/>
      <c r="L19" s="36"/>
      <c r="M19" s="36"/>
      <c r="N19" s="36"/>
      <c r="O19" s="36"/>
      <c r="P19" s="36"/>
      <c r="Q19" s="36"/>
      <c r="R19" s="36"/>
      <c r="S19" s="36"/>
      <c r="T19" s="117"/>
      <c r="U19" s="36"/>
      <c r="V19" s="36"/>
      <c r="W19" s="36"/>
      <c r="X19" s="17"/>
      <c r="Y19" s="17"/>
      <c r="Z19" s="17"/>
      <c r="AA19" s="17"/>
      <c r="AB19" s="17"/>
      <c r="AC19" s="17"/>
      <c r="AD19" s="17"/>
      <c r="AE19" s="17"/>
      <c r="AF19" s="8"/>
      <c r="AG19" s="17"/>
      <c r="AH19" s="17"/>
      <c r="AI19" s="17"/>
      <c r="AJ19" s="17"/>
      <c r="AK19" s="17"/>
      <c r="AL19" s="17"/>
      <c r="AM19" s="17"/>
      <c r="AN19" s="17"/>
      <c r="AO19" s="17"/>
      <c r="AP19" s="17"/>
      <c r="AQ19" s="17"/>
      <c r="AR19" s="17"/>
      <c r="AS19" s="17"/>
      <c r="AT19" s="17"/>
      <c r="AU19" s="17"/>
      <c r="AV19" s="17"/>
      <c r="AW19" s="17"/>
      <c r="AX19" s="17"/>
      <c r="AY19" s="17"/>
    </row>
    <row r="20" ht="17.45" customHeight="1">
      <c r="A20" s="17"/>
      <c r="B20" s="17"/>
      <c r="C20" s="17"/>
      <c r="D20" s="17"/>
      <c r="E20" s="17"/>
      <c r="F20" s="17"/>
      <c r="G20" s="17"/>
      <c r="H20" s="17"/>
      <c r="I20" s="17"/>
      <c r="J20" s="17"/>
      <c r="K20" s="17"/>
      <c r="L20" s="36"/>
      <c r="M20" s="36"/>
      <c r="N20" s="36"/>
      <c r="O20" s="36"/>
      <c r="P20" s="36"/>
      <c r="Q20" s="36"/>
      <c r="R20" s="36"/>
      <c r="S20" s="36"/>
      <c r="T20" s="36"/>
      <c r="U20" s="36"/>
      <c r="V20" s="36"/>
      <c r="W20" s="36"/>
      <c r="X20" s="17"/>
      <c r="Y20" s="17"/>
      <c r="Z20" s="17"/>
      <c r="AA20" s="17"/>
      <c r="AB20" s="17"/>
      <c r="AC20" s="17"/>
      <c r="AD20" s="17"/>
      <c r="AE20" s="17"/>
      <c r="AF20" s="8"/>
      <c r="AG20" s="17"/>
      <c r="AH20" s="17"/>
      <c r="AI20" s="17"/>
      <c r="AJ20" s="17"/>
      <c r="AK20" s="17"/>
      <c r="AL20" s="17"/>
      <c r="AM20" s="17"/>
      <c r="AN20" s="17"/>
      <c r="AO20" s="17"/>
      <c r="AP20" s="17"/>
      <c r="AQ20" s="17"/>
      <c r="AR20" s="17"/>
      <c r="AS20" s="17"/>
      <c r="AT20" s="17"/>
      <c r="AU20" s="17"/>
      <c r="AV20" s="17"/>
      <c r="AW20" s="17"/>
      <c r="AX20" s="17"/>
      <c r="AY20" s="17"/>
    </row>
    <row r="21" ht="17.45" customHeight="1">
      <c r="A21" s="17"/>
      <c r="B21" s="17"/>
      <c r="C21" s="17"/>
      <c r="D21" s="17"/>
      <c r="E21" s="17"/>
      <c r="F21" s="17"/>
      <c r="G21" s="17"/>
      <c r="H21" s="17"/>
      <c r="I21" s="17"/>
      <c r="J21" s="17"/>
      <c r="K21" s="17"/>
      <c r="L21" s="17"/>
      <c r="M21" s="36"/>
      <c r="N21" s="36"/>
      <c r="O21" s="36"/>
      <c r="P21" s="36"/>
      <c r="Q21" s="17"/>
      <c r="R21" s="36"/>
      <c r="S21" s="36"/>
      <c r="T21" s="17"/>
      <c r="U21" s="17"/>
      <c r="V21" s="17"/>
      <c r="W21" s="17"/>
      <c r="X21" s="17"/>
      <c r="Y21" s="17"/>
      <c r="Z21" s="17"/>
      <c r="AA21" s="17"/>
      <c r="AB21" s="17"/>
      <c r="AC21" s="17"/>
      <c r="AD21" s="17"/>
      <c r="AE21" s="17"/>
      <c r="AF21" s="8"/>
      <c r="AG21" s="17"/>
      <c r="AH21" s="17"/>
      <c r="AI21" s="17"/>
      <c r="AJ21" s="17"/>
      <c r="AK21" s="17"/>
      <c r="AL21" s="17"/>
      <c r="AM21" s="17"/>
      <c r="AN21" s="17"/>
      <c r="AO21" s="17"/>
      <c r="AP21" s="17"/>
      <c r="AQ21" s="17"/>
      <c r="AR21" s="17"/>
      <c r="AS21" s="17"/>
      <c r="AT21" s="17"/>
      <c r="AU21" s="17"/>
      <c r="AV21" s="17"/>
      <c r="AW21" s="17"/>
      <c r="AX21" s="17"/>
      <c r="AY21" s="17"/>
    </row>
    <row r="22" ht="17.45" customHeight="1">
      <c r="A22" s="17"/>
      <c r="B22" s="17"/>
      <c r="C22" s="17"/>
      <c r="D22" s="17"/>
      <c r="E22" s="17"/>
      <c r="F22" s="17"/>
      <c r="G22" s="17"/>
      <c r="H22" s="17"/>
      <c r="I22" s="17"/>
      <c r="J22" s="17"/>
      <c r="K22" s="17"/>
      <c r="L22" s="17"/>
      <c r="M22" s="36"/>
      <c r="N22" s="36"/>
      <c r="O22" s="36"/>
      <c r="P22" s="36"/>
      <c r="Q22" s="36"/>
      <c r="R22" s="36"/>
      <c r="S22" s="36"/>
      <c r="T22" s="17"/>
      <c r="U22" s="17"/>
      <c r="V22" s="17"/>
      <c r="W22" s="17"/>
      <c r="X22" s="17"/>
      <c r="Y22" s="17"/>
      <c r="Z22" s="17"/>
      <c r="AA22" s="17"/>
      <c r="AB22" s="17"/>
      <c r="AC22" s="17"/>
      <c r="AD22" s="17"/>
      <c r="AE22" s="17"/>
      <c r="AF22" s="8"/>
      <c r="AG22" s="17"/>
      <c r="AH22" s="17"/>
      <c r="AI22" s="17"/>
      <c r="AJ22" s="17"/>
      <c r="AK22" s="17"/>
      <c r="AL22" s="17"/>
      <c r="AM22" s="17"/>
      <c r="AN22" s="17"/>
      <c r="AO22" s="17"/>
      <c r="AP22" s="17"/>
      <c r="AQ22" s="17"/>
      <c r="AR22" s="17"/>
      <c r="AS22" s="17"/>
      <c r="AT22" s="17"/>
      <c r="AU22" s="17"/>
      <c r="AV22" s="17"/>
      <c r="AW22" s="17"/>
      <c r="AX22" s="17"/>
      <c r="AY22" s="17"/>
    </row>
    <row r="23" ht="17.45" customHeight="1">
      <c r="A23" s="17"/>
      <c r="B23" s="17"/>
      <c r="C23" s="17"/>
      <c r="D23" s="17"/>
      <c r="E23" s="17"/>
      <c r="F23" s="17"/>
      <c r="G23" s="17"/>
      <c r="H23" s="17"/>
      <c r="I23" s="17"/>
      <c r="J23" s="17"/>
      <c r="K23" s="17"/>
      <c r="L23" s="17"/>
      <c r="M23" s="36"/>
      <c r="N23" s="36"/>
      <c r="O23" s="36"/>
      <c r="P23" s="36"/>
      <c r="Q23" s="36"/>
      <c r="R23" s="36"/>
      <c r="S23" s="36"/>
      <c r="T23" s="17"/>
      <c r="U23" s="17"/>
      <c r="V23" s="17"/>
      <c r="W23" s="17"/>
      <c r="X23" s="17"/>
      <c r="Y23" s="17"/>
      <c r="Z23" s="17"/>
      <c r="AA23" s="17"/>
      <c r="AB23" s="17"/>
      <c r="AC23" s="17"/>
      <c r="AD23" s="17"/>
      <c r="AE23" s="17"/>
      <c r="AF23" s="8"/>
      <c r="AG23" s="17"/>
      <c r="AH23" s="17"/>
      <c r="AI23" s="17"/>
      <c r="AJ23" s="17"/>
      <c r="AK23" s="17"/>
      <c r="AL23" s="17"/>
      <c r="AM23" s="17"/>
      <c r="AN23" s="17"/>
      <c r="AO23" s="17"/>
      <c r="AP23" s="17"/>
      <c r="AQ23" s="17"/>
      <c r="AR23" s="17"/>
      <c r="AS23" s="17"/>
      <c r="AT23" s="17"/>
      <c r="AU23" s="17"/>
      <c r="AV23" s="17"/>
      <c r="AW23" s="17"/>
      <c r="AX23" s="17"/>
      <c r="AY23" s="17"/>
    </row>
    <row r="24" ht="17.45" customHeight="1">
      <c r="A24" s="17"/>
      <c r="B24" s="17"/>
      <c r="C24" s="17"/>
      <c r="D24" s="17"/>
      <c r="E24" s="17"/>
      <c r="F24" s="17"/>
      <c r="G24" s="17"/>
      <c r="H24" s="17"/>
      <c r="I24" s="17"/>
      <c r="J24" s="17"/>
      <c r="K24" s="17"/>
      <c r="L24" s="17"/>
      <c r="M24" s="36"/>
      <c r="N24" s="36"/>
      <c r="O24" s="36"/>
      <c r="P24" s="36"/>
      <c r="Q24" s="36"/>
      <c r="R24" s="36"/>
      <c r="S24" s="36"/>
      <c r="T24" s="17"/>
      <c r="U24" s="17"/>
      <c r="V24" s="17"/>
      <c r="W24" s="17"/>
      <c r="X24" s="17"/>
      <c r="Y24" s="17"/>
      <c r="Z24" s="17"/>
      <c r="AA24" s="17"/>
      <c r="AB24" s="17"/>
      <c r="AC24" s="17"/>
      <c r="AD24" s="17"/>
      <c r="AE24" s="17"/>
      <c r="AF24" s="8"/>
      <c r="AG24" s="17"/>
      <c r="AH24" s="17"/>
      <c r="AI24" s="17"/>
      <c r="AJ24" s="17"/>
      <c r="AK24" s="17"/>
      <c r="AL24" s="17"/>
      <c r="AM24" s="17"/>
      <c r="AN24" s="17"/>
      <c r="AO24" s="17"/>
      <c r="AP24" s="17"/>
      <c r="AQ24" s="17"/>
      <c r="AR24" s="17"/>
      <c r="AS24" s="17"/>
      <c r="AT24" s="17"/>
      <c r="AU24" s="17"/>
      <c r="AV24" s="17"/>
      <c r="AW24" s="17"/>
      <c r="AX24" s="17"/>
      <c r="AY24" s="17"/>
    </row>
    <row r="25" ht="17.45" customHeight="1">
      <c r="A25" s="17"/>
      <c r="B25" s="17"/>
      <c r="C25" s="17"/>
      <c r="D25" s="17"/>
      <c r="E25" s="17"/>
      <c r="F25" s="17"/>
      <c r="G25" s="17"/>
      <c r="H25" s="17"/>
      <c r="I25" s="17"/>
      <c r="J25" s="17"/>
      <c r="K25" s="17"/>
      <c r="L25" s="17"/>
      <c r="M25" s="36"/>
      <c r="N25" s="36"/>
      <c r="O25" s="36"/>
      <c r="P25" s="36"/>
      <c r="Q25" s="36"/>
      <c r="R25" s="36"/>
      <c r="S25" s="36"/>
      <c r="T25" s="17"/>
      <c r="U25" s="17"/>
      <c r="V25" s="17"/>
      <c r="W25" s="17"/>
      <c r="X25" s="17"/>
      <c r="Y25" s="17"/>
      <c r="Z25" s="17"/>
      <c r="AA25" s="17"/>
      <c r="AB25" s="17"/>
      <c r="AC25" s="17"/>
      <c r="AD25" s="17"/>
      <c r="AE25" s="17"/>
      <c r="AF25" s="8"/>
      <c r="AG25" s="17"/>
      <c r="AH25" s="17"/>
      <c r="AI25" s="17"/>
      <c r="AJ25" s="17"/>
      <c r="AK25" s="17"/>
      <c r="AL25" s="17"/>
      <c r="AM25" s="17"/>
      <c r="AN25" s="17"/>
      <c r="AO25" s="17"/>
      <c r="AP25" s="17"/>
      <c r="AQ25" s="17"/>
      <c r="AR25" s="17"/>
      <c r="AS25" s="17"/>
      <c r="AT25" s="17"/>
      <c r="AU25" s="17"/>
      <c r="AV25" s="17"/>
      <c r="AW25" s="17"/>
      <c r="AX25" s="17"/>
      <c r="AY25" s="17"/>
    </row>
    <row r="26" ht="17.45" customHeight="1">
      <c r="A26" s="17"/>
      <c r="B26" s="17"/>
      <c r="C26" s="17"/>
      <c r="D26" s="17"/>
      <c r="E26" s="17"/>
      <c r="F26" s="17"/>
      <c r="G26" s="17"/>
      <c r="H26" s="17"/>
      <c r="I26" s="17"/>
      <c r="J26" s="17"/>
      <c r="K26" s="17"/>
      <c r="L26" s="17"/>
      <c r="M26" s="36"/>
      <c r="N26" s="36"/>
      <c r="O26" s="36"/>
      <c r="P26" s="36"/>
      <c r="Q26" s="17"/>
      <c r="R26" s="36"/>
      <c r="S26" s="36"/>
      <c r="T26" s="116"/>
      <c r="U26" s="17"/>
      <c r="V26" s="17"/>
      <c r="W26" s="17"/>
      <c r="X26" s="17"/>
      <c r="Y26" s="17"/>
      <c r="Z26" s="17"/>
      <c r="AA26" s="17"/>
      <c r="AB26" s="17"/>
      <c r="AC26" s="17"/>
      <c r="AD26" s="17"/>
      <c r="AE26" s="17"/>
      <c r="AF26" s="8"/>
      <c r="AG26" s="17"/>
      <c r="AH26" s="17"/>
      <c r="AI26" s="17"/>
      <c r="AJ26" s="17"/>
      <c r="AK26" s="17"/>
      <c r="AL26" s="17"/>
      <c r="AM26" s="17"/>
      <c r="AN26" s="17"/>
      <c r="AO26" s="17"/>
      <c r="AP26" s="17"/>
      <c r="AQ26" s="17"/>
      <c r="AR26" s="17"/>
      <c r="AS26" s="17"/>
      <c r="AT26" s="17"/>
      <c r="AU26" s="17"/>
      <c r="AV26" s="17"/>
      <c r="AW26" s="17"/>
      <c r="AX26" s="17"/>
      <c r="AY26" s="17"/>
    </row>
    <row r="27" ht="17.45" customHeight="1">
      <c r="A27" s="17"/>
      <c r="B27" s="17"/>
      <c r="C27" s="17"/>
      <c r="D27" s="17"/>
      <c r="E27" s="17"/>
      <c r="F27" s="17"/>
      <c r="G27" s="17"/>
      <c r="H27" s="17"/>
      <c r="I27" s="17"/>
      <c r="J27" s="17"/>
      <c r="K27" s="17"/>
      <c r="L27" s="17"/>
      <c r="M27" s="36"/>
      <c r="N27" s="36"/>
      <c r="O27" s="36"/>
      <c r="P27" s="36"/>
      <c r="Q27" s="17"/>
      <c r="R27" s="36"/>
      <c r="S27" s="36"/>
      <c r="T27" s="17"/>
      <c r="U27" s="17"/>
      <c r="V27" s="17"/>
      <c r="W27" s="17"/>
      <c r="X27" s="17"/>
      <c r="Y27" s="17"/>
      <c r="Z27" s="17"/>
      <c r="AA27" s="17"/>
      <c r="AB27" s="17"/>
      <c r="AC27" s="17"/>
      <c r="AD27" s="17"/>
      <c r="AE27" s="17"/>
      <c r="AF27" s="8"/>
      <c r="AG27" s="17"/>
      <c r="AH27" s="17"/>
      <c r="AI27" s="17"/>
      <c r="AJ27" s="17"/>
      <c r="AK27" s="17"/>
      <c r="AL27" s="17"/>
      <c r="AM27" s="17"/>
      <c r="AN27" s="17"/>
      <c r="AO27" s="17"/>
      <c r="AP27" s="17"/>
      <c r="AQ27" s="17"/>
      <c r="AR27" s="17"/>
      <c r="AS27" s="17"/>
      <c r="AT27" s="17"/>
      <c r="AU27" s="17"/>
      <c r="AV27" s="17"/>
      <c r="AW27" s="17"/>
      <c r="AX27" s="17"/>
      <c r="AY27" s="17"/>
    </row>
    <row r="28" ht="17.45" customHeight="1">
      <c r="A28" s="17"/>
      <c r="B28" s="17"/>
      <c r="C28" s="17"/>
      <c r="D28" s="17"/>
      <c r="E28" s="17"/>
      <c r="F28" s="17"/>
      <c r="G28" s="17"/>
      <c r="H28" s="17"/>
      <c r="I28" s="17"/>
      <c r="J28" s="17"/>
      <c r="K28" s="17"/>
      <c r="L28" s="17"/>
      <c r="M28" s="36"/>
      <c r="N28" s="36"/>
      <c r="O28" s="36"/>
      <c r="P28" s="36"/>
      <c r="Q28" s="36"/>
      <c r="R28" s="36"/>
      <c r="S28" s="36"/>
      <c r="T28" s="17"/>
      <c r="U28" s="17"/>
      <c r="V28" s="17"/>
      <c r="W28" s="17"/>
      <c r="X28" s="17"/>
      <c r="Y28" s="17"/>
      <c r="Z28" s="17"/>
      <c r="AA28" s="17"/>
      <c r="AB28" s="17"/>
      <c r="AC28" s="17"/>
      <c r="AD28" s="17"/>
      <c r="AE28" s="17"/>
      <c r="AF28" s="8"/>
      <c r="AG28" s="17"/>
      <c r="AH28" s="17"/>
      <c r="AI28" s="17"/>
      <c r="AJ28" s="17"/>
      <c r="AK28" s="17"/>
      <c r="AL28" s="17"/>
      <c r="AM28" s="17"/>
      <c r="AN28" s="17"/>
      <c r="AO28" s="17"/>
      <c r="AP28" s="17"/>
      <c r="AQ28" s="17"/>
      <c r="AR28" s="17"/>
      <c r="AS28" s="17"/>
      <c r="AT28" s="17"/>
      <c r="AU28" s="17"/>
      <c r="AV28" s="17"/>
      <c r="AW28" s="17"/>
      <c r="AX28" s="17"/>
      <c r="AY28" s="17"/>
    </row>
    <row r="29" ht="17.45" customHeight="1">
      <c r="A29" s="17"/>
      <c r="B29" s="17"/>
      <c r="C29" s="17"/>
      <c r="D29" s="17"/>
      <c r="E29" s="17"/>
      <c r="F29" s="17"/>
      <c r="G29" s="17"/>
      <c r="H29" s="17"/>
      <c r="I29" s="17"/>
      <c r="J29" s="17"/>
      <c r="K29" s="17"/>
      <c r="L29" s="17"/>
      <c r="M29" s="36"/>
      <c r="N29" s="36"/>
      <c r="O29" s="36"/>
      <c r="P29" s="36"/>
      <c r="Q29" s="36"/>
      <c r="R29" s="36"/>
      <c r="S29" s="36"/>
      <c r="T29" s="17"/>
      <c r="U29" s="36"/>
      <c r="V29" s="36"/>
      <c r="W29" s="36"/>
      <c r="X29" s="17"/>
      <c r="Y29" s="17"/>
      <c r="Z29" s="17"/>
      <c r="AA29" s="17"/>
      <c r="AB29" s="17"/>
      <c r="AC29" s="17"/>
      <c r="AD29" s="17"/>
      <c r="AE29" s="17"/>
      <c r="AF29" s="8"/>
      <c r="AG29" s="17"/>
      <c r="AH29" s="17"/>
      <c r="AI29" s="17"/>
      <c r="AJ29" s="17"/>
      <c r="AK29" s="17"/>
      <c r="AL29" s="17"/>
      <c r="AM29" s="17"/>
      <c r="AN29" s="17"/>
      <c r="AO29" s="17"/>
      <c r="AP29" s="17"/>
      <c r="AQ29" s="17"/>
      <c r="AR29" s="17"/>
      <c r="AS29" s="17"/>
      <c r="AT29" s="17"/>
      <c r="AU29" s="17"/>
      <c r="AV29" s="17"/>
      <c r="AW29" s="17"/>
      <c r="AX29" s="17"/>
      <c r="AY29" s="17"/>
    </row>
    <row r="30" ht="17.45" customHeight="1">
      <c r="A30" s="17"/>
      <c r="B30" s="17"/>
      <c r="C30" s="17"/>
      <c r="D30" s="17"/>
      <c r="E30" s="17"/>
      <c r="F30" s="17"/>
      <c r="G30" s="17"/>
      <c r="H30" s="17"/>
      <c r="I30" s="17"/>
      <c r="J30" s="17"/>
      <c r="K30" s="17"/>
      <c r="L30" s="17"/>
      <c r="M30" s="36"/>
      <c r="N30" s="36"/>
      <c r="O30" s="36"/>
      <c r="P30" s="36"/>
      <c r="Q30" s="17"/>
      <c r="R30" s="36"/>
      <c r="S30" s="36"/>
      <c r="T30" s="17"/>
      <c r="U30" s="36"/>
      <c r="V30" s="36"/>
      <c r="W30" s="36"/>
      <c r="X30" s="17"/>
      <c r="Y30" s="17"/>
      <c r="Z30" s="17"/>
      <c r="AA30" s="17"/>
      <c r="AB30" s="17"/>
      <c r="AC30" s="17"/>
      <c r="AD30" s="17"/>
      <c r="AE30" s="17"/>
      <c r="AF30" s="8"/>
      <c r="AG30" s="17"/>
      <c r="AH30" s="17"/>
      <c r="AI30" s="17"/>
      <c r="AJ30" s="17"/>
      <c r="AK30" s="17"/>
      <c r="AL30" s="17"/>
      <c r="AM30" s="17"/>
      <c r="AN30" s="17"/>
      <c r="AO30" s="17"/>
      <c r="AP30" s="17"/>
      <c r="AQ30" s="17"/>
      <c r="AR30" s="17"/>
      <c r="AS30" s="17"/>
      <c r="AT30" s="17"/>
      <c r="AU30" s="17"/>
      <c r="AV30" s="17"/>
      <c r="AW30" s="17"/>
      <c r="AX30" s="17"/>
      <c r="AY30" s="17"/>
    </row>
    <row r="31" ht="17.45" customHeight="1">
      <c r="A31" s="17"/>
      <c r="B31" s="17"/>
      <c r="C31" s="17"/>
      <c r="D31" s="17"/>
      <c r="E31" s="17"/>
      <c r="F31" s="17"/>
      <c r="G31" s="17"/>
      <c r="H31" s="17"/>
      <c r="I31" s="17"/>
      <c r="J31" s="17"/>
      <c r="K31" s="17"/>
      <c r="L31" s="17"/>
      <c r="M31" s="36"/>
      <c r="N31" s="36"/>
      <c r="O31" s="36"/>
      <c r="P31" s="36"/>
      <c r="Q31" s="17"/>
      <c r="R31" s="36"/>
      <c r="S31" s="36"/>
      <c r="T31" s="17"/>
      <c r="U31" s="36"/>
      <c r="V31" s="36"/>
      <c r="W31" s="36"/>
      <c r="X31" s="17"/>
      <c r="Y31" s="17"/>
      <c r="Z31" s="17"/>
      <c r="AA31" s="17"/>
      <c r="AB31" s="17"/>
      <c r="AC31" s="17"/>
      <c r="AD31" s="17"/>
      <c r="AE31" s="17"/>
      <c r="AF31" s="8"/>
      <c r="AG31" s="17"/>
      <c r="AH31" s="17"/>
      <c r="AI31" s="17"/>
      <c r="AJ31" s="17"/>
      <c r="AK31" s="17"/>
      <c r="AL31" s="17"/>
      <c r="AM31" s="17"/>
      <c r="AN31" s="17"/>
      <c r="AO31" s="17"/>
      <c r="AP31" s="17"/>
      <c r="AQ31" s="17"/>
      <c r="AR31" s="17"/>
      <c r="AS31" s="17"/>
      <c r="AT31" s="17"/>
      <c r="AU31" s="17"/>
      <c r="AV31" s="17"/>
      <c r="AW31" s="17"/>
      <c r="AX31" s="17"/>
      <c r="AY31" s="17"/>
    </row>
    <row r="32" ht="17.45" customHeight="1">
      <c r="A32" s="17"/>
      <c r="B32" s="17"/>
      <c r="C32" s="17"/>
      <c r="D32" s="17"/>
      <c r="E32" s="17"/>
      <c r="F32" s="17"/>
      <c r="G32" s="17"/>
      <c r="H32" s="17"/>
      <c r="I32" s="17"/>
      <c r="J32" s="17"/>
      <c r="K32" s="17"/>
      <c r="L32" s="17"/>
      <c r="M32" s="36"/>
      <c r="N32" s="36"/>
      <c r="O32" s="36"/>
      <c r="P32" s="36"/>
      <c r="Q32" s="17"/>
      <c r="R32" s="36"/>
      <c r="S32" s="36"/>
      <c r="T32" s="17"/>
      <c r="U32" s="36"/>
      <c r="V32" s="36"/>
      <c r="W32" s="36"/>
      <c r="X32" s="17"/>
      <c r="Y32" s="17"/>
      <c r="Z32" s="17"/>
      <c r="AA32" s="17"/>
      <c r="AB32" s="17"/>
      <c r="AC32" s="17"/>
      <c r="AD32" s="17"/>
      <c r="AE32" s="17"/>
      <c r="AF32" s="8"/>
      <c r="AG32" s="17"/>
      <c r="AH32" s="17"/>
      <c r="AI32" s="17"/>
      <c r="AJ32" s="17"/>
      <c r="AK32" s="17"/>
      <c r="AL32" s="17"/>
      <c r="AM32" s="17"/>
      <c r="AN32" s="17"/>
      <c r="AO32" s="17"/>
      <c r="AP32" s="17"/>
      <c r="AQ32" s="17"/>
      <c r="AR32" s="17"/>
      <c r="AS32" s="17"/>
      <c r="AT32" s="17"/>
      <c r="AU32" s="17"/>
      <c r="AV32" s="17"/>
      <c r="AW32" s="17"/>
      <c r="AX32" s="17"/>
      <c r="AY32" s="17"/>
    </row>
    <row r="33" ht="17.45" customHeight="1">
      <c r="A33" s="17"/>
      <c r="B33" s="17"/>
      <c r="C33" s="17"/>
      <c r="D33" s="17"/>
      <c r="E33" s="17"/>
      <c r="F33" s="17"/>
      <c r="G33" s="17"/>
      <c r="H33" s="17"/>
      <c r="I33" s="17"/>
      <c r="J33" s="17"/>
      <c r="K33" s="17"/>
      <c r="L33" s="17"/>
      <c r="M33" s="36"/>
      <c r="N33" s="36"/>
      <c r="O33" s="36"/>
      <c r="P33" s="36"/>
      <c r="Q33" s="17"/>
      <c r="R33" s="36"/>
      <c r="S33" s="36"/>
      <c r="T33" s="17"/>
      <c r="U33" s="36"/>
      <c r="V33" s="36"/>
      <c r="W33" s="36"/>
      <c r="X33" s="17"/>
      <c r="Y33" s="17"/>
      <c r="Z33" s="17"/>
      <c r="AA33" s="17"/>
      <c r="AB33" s="17"/>
      <c r="AC33" s="17"/>
      <c r="AD33" s="17"/>
      <c r="AE33" s="17"/>
      <c r="AF33" s="8"/>
      <c r="AG33" s="17"/>
      <c r="AH33" s="17"/>
      <c r="AI33" s="17"/>
      <c r="AJ33" s="17"/>
      <c r="AK33" s="17"/>
      <c r="AL33" s="17"/>
      <c r="AM33" s="17"/>
      <c r="AN33" s="17"/>
      <c r="AO33" s="17"/>
      <c r="AP33" s="17"/>
      <c r="AQ33" s="17"/>
      <c r="AR33" s="17"/>
      <c r="AS33" s="17"/>
      <c r="AT33" s="17"/>
      <c r="AU33" s="17"/>
      <c r="AV33" s="17"/>
      <c r="AW33" s="17"/>
      <c r="AX33" s="17"/>
      <c r="AY33" s="17"/>
    </row>
    <row r="34" ht="17"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8"/>
      <c r="AG34" s="17"/>
      <c r="AH34" s="17"/>
      <c r="AI34" s="17"/>
      <c r="AJ34" s="17"/>
      <c r="AK34" s="17"/>
      <c r="AL34" s="17"/>
      <c r="AM34" s="17"/>
      <c r="AN34" s="17"/>
      <c r="AO34" s="17"/>
      <c r="AP34" s="17"/>
      <c r="AQ34" s="17"/>
      <c r="AR34" s="17"/>
      <c r="AS34" s="17"/>
      <c r="AT34" s="17"/>
      <c r="AU34" s="17"/>
      <c r="AV34" s="17"/>
      <c r="AW34" s="17"/>
      <c r="AX34" s="17"/>
      <c r="AY34" s="17"/>
    </row>
    <row r="35" ht="17.45" customHeight="1">
      <c r="A35" s="17"/>
      <c r="B35" s="17"/>
      <c r="C35" s="17"/>
      <c r="D35" s="17"/>
      <c r="E35" s="17"/>
      <c r="F35" s="17"/>
      <c r="G35" s="17"/>
      <c r="H35" s="17"/>
      <c r="I35" s="17"/>
      <c r="J35" s="17"/>
      <c r="K35" s="17"/>
      <c r="L35" s="17"/>
      <c r="M35" s="36"/>
      <c r="N35" s="36"/>
      <c r="O35" s="36"/>
      <c r="P35" s="36"/>
      <c r="Q35" s="17"/>
      <c r="R35" s="36"/>
      <c r="S35" s="36"/>
      <c r="T35" s="116"/>
      <c r="U35" s="36"/>
      <c r="V35" s="17"/>
      <c r="W35" s="17"/>
      <c r="X35" s="17"/>
      <c r="Y35" s="17"/>
      <c r="Z35" s="17"/>
      <c r="AA35" s="17"/>
      <c r="AB35" s="17"/>
      <c r="AC35" s="17"/>
      <c r="AD35" s="17"/>
      <c r="AE35" s="17"/>
      <c r="AF35" s="8"/>
      <c r="AG35" s="17"/>
      <c r="AH35" s="17"/>
      <c r="AI35" s="17"/>
      <c r="AJ35" s="17"/>
      <c r="AK35" s="17"/>
      <c r="AL35" s="17"/>
      <c r="AM35" s="17"/>
      <c r="AN35" s="17"/>
      <c r="AO35" s="17"/>
      <c r="AP35" s="17"/>
      <c r="AQ35" s="17"/>
      <c r="AR35" s="17"/>
      <c r="AS35" s="17"/>
      <c r="AT35" s="17"/>
      <c r="AU35" s="17"/>
      <c r="AV35" s="17"/>
      <c r="AW35" s="17"/>
      <c r="AX35" s="17"/>
      <c r="AY35" s="17"/>
    </row>
    <row r="36" ht="17.45" customHeight="1">
      <c r="A36" s="17"/>
      <c r="B36" s="17"/>
      <c r="C36" s="17"/>
      <c r="D36" s="17"/>
      <c r="E36" s="17"/>
      <c r="F36" s="17"/>
      <c r="G36" s="17"/>
      <c r="H36" s="17"/>
      <c r="I36" s="17"/>
      <c r="J36" s="17"/>
      <c r="K36" s="17"/>
      <c r="L36" s="17"/>
      <c r="M36" s="36"/>
      <c r="N36" s="36"/>
      <c r="O36" s="36"/>
      <c r="P36" s="36"/>
      <c r="Q36" s="17"/>
      <c r="R36" s="36"/>
      <c r="S36" s="36"/>
      <c r="T36" s="17"/>
      <c r="U36" s="36"/>
      <c r="V36" s="17"/>
      <c r="W36" s="17"/>
      <c r="X36" s="17"/>
      <c r="Y36" s="17"/>
      <c r="Z36" s="17"/>
      <c r="AA36" s="17"/>
      <c r="AB36" s="17"/>
      <c r="AC36" s="17"/>
      <c r="AD36" s="17"/>
      <c r="AE36" s="17"/>
      <c r="AF36" s="8"/>
      <c r="AG36" s="17"/>
      <c r="AH36" s="17"/>
      <c r="AI36" s="17"/>
      <c r="AJ36" s="17"/>
      <c r="AK36" s="17"/>
      <c r="AL36" s="17"/>
      <c r="AM36" s="17"/>
      <c r="AN36" s="17"/>
      <c r="AO36" s="17"/>
      <c r="AP36" s="17"/>
      <c r="AQ36" s="17"/>
      <c r="AR36" s="17"/>
      <c r="AS36" s="17"/>
      <c r="AT36" s="17"/>
      <c r="AU36" s="17"/>
      <c r="AV36" s="17"/>
      <c r="AW36" s="17"/>
      <c r="AX36" s="17"/>
      <c r="AY36" s="17"/>
    </row>
    <row r="37" ht="17.45" customHeight="1">
      <c r="A37" s="17"/>
      <c r="B37" s="17"/>
      <c r="C37" s="17"/>
      <c r="D37" s="17"/>
      <c r="E37" s="17"/>
      <c r="F37" s="17"/>
      <c r="G37" s="17"/>
      <c r="H37" s="17"/>
      <c r="I37" s="17"/>
      <c r="J37" s="17"/>
      <c r="K37" s="17"/>
      <c r="L37" s="17"/>
      <c r="M37" s="36"/>
      <c r="N37" s="36"/>
      <c r="O37" s="36"/>
      <c r="P37" s="36"/>
      <c r="Q37" s="17"/>
      <c r="R37" s="36"/>
      <c r="S37" s="36"/>
      <c r="T37" s="17"/>
      <c r="U37" s="36"/>
      <c r="V37" s="17"/>
      <c r="W37" s="17"/>
      <c r="X37" s="17"/>
      <c r="Y37" s="17"/>
      <c r="Z37" s="17"/>
      <c r="AA37" s="17"/>
      <c r="AB37" s="17"/>
      <c r="AC37" s="17"/>
      <c r="AD37" s="17"/>
      <c r="AE37" s="17"/>
      <c r="AF37" s="8"/>
      <c r="AG37" s="17"/>
      <c r="AH37" s="17"/>
      <c r="AI37" s="17"/>
      <c r="AJ37" s="17"/>
      <c r="AK37" s="17"/>
      <c r="AL37" s="17"/>
      <c r="AM37" s="17"/>
      <c r="AN37" s="17"/>
      <c r="AO37" s="17"/>
      <c r="AP37" s="17"/>
      <c r="AQ37" s="17"/>
      <c r="AR37" s="17"/>
      <c r="AS37" s="17"/>
      <c r="AT37" s="17"/>
      <c r="AU37" s="17"/>
      <c r="AV37" s="17"/>
      <c r="AW37" s="17"/>
      <c r="AX37" s="17"/>
      <c r="AY37" s="17"/>
    </row>
    <row r="38" ht="17.45" customHeight="1">
      <c r="A38" s="17"/>
      <c r="B38" s="17"/>
      <c r="C38" s="17"/>
      <c r="D38" s="17"/>
      <c r="E38" s="17"/>
      <c r="F38" s="17"/>
      <c r="G38" s="17"/>
      <c r="H38" s="17"/>
      <c r="I38" s="17"/>
      <c r="J38" s="17"/>
      <c r="K38" s="17"/>
      <c r="L38" s="17"/>
      <c r="M38" s="36"/>
      <c r="N38" s="36"/>
      <c r="O38" s="36"/>
      <c r="P38" s="36"/>
      <c r="Q38" s="17"/>
      <c r="R38" s="36"/>
      <c r="S38" s="36"/>
      <c r="T38" s="116"/>
      <c r="U38" s="36"/>
      <c r="V38" s="17"/>
      <c r="W38" s="17"/>
      <c r="X38" s="17"/>
      <c r="Y38" s="17"/>
      <c r="Z38" s="17"/>
      <c r="AA38" s="17"/>
      <c r="AB38" s="17"/>
      <c r="AC38" s="17"/>
      <c r="AD38" s="17"/>
      <c r="AE38" s="17"/>
      <c r="AF38" s="8"/>
      <c r="AG38" s="17"/>
      <c r="AH38" s="17"/>
      <c r="AI38" s="17"/>
      <c r="AJ38" s="17"/>
      <c r="AK38" s="17"/>
      <c r="AL38" s="17"/>
      <c r="AM38" s="17"/>
      <c r="AN38" s="17"/>
      <c r="AO38" s="17"/>
      <c r="AP38" s="17"/>
      <c r="AQ38" s="17"/>
      <c r="AR38" s="17"/>
      <c r="AS38" s="17"/>
      <c r="AT38" s="17"/>
      <c r="AU38" s="17"/>
      <c r="AV38" s="17"/>
      <c r="AW38" s="17"/>
      <c r="AX38" s="17"/>
      <c r="AY38" s="17"/>
    </row>
    <row r="39" ht="17.45" customHeight="1">
      <c r="A39" s="17"/>
      <c r="B39" s="17"/>
      <c r="C39" s="17"/>
      <c r="D39" s="17"/>
      <c r="E39" s="17"/>
      <c r="F39" s="17"/>
      <c r="G39" s="17"/>
      <c r="H39" s="17"/>
      <c r="I39" s="17"/>
      <c r="J39" s="17"/>
      <c r="K39" s="17"/>
      <c r="L39" s="17"/>
      <c r="M39" s="36"/>
      <c r="N39" s="36"/>
      <c r="O39" s="36"/>
      <c r="P39" s="36"/>
      <c r="Q39" s="17"/>
      <c r="R39" s="36"/>
      <c r="S39" s="36"/>
      <c r="T39" s="17"/>
      <c r="U39" s="36"/>
      <c r="V39" s="17"/>
      <c r="W39" s="17"/>
      <c r="X39" s="17"/>
      <c r="Y39" s="17"/>
      <c r="Z39" s="17"/>
      <c r="AA39" s="17"/>
      <c r="AB39" s="17"/>
      <c r="AC39" s="17"/>
      <c r="AD39" s="17"/>
      <c r="AE39" s="17"/>
      <c r="AF39" s="8"/>
      <c r="AG39" s="17"/>
      <c r="AH39" s="17"/>
      <c r="AI39" s="17"/>
      <c r="AJ39" s="17"/>
      <c r="AK39" s="17"/>
      <c r="AL39" s="17"/>
      <c r="AM39" s="17"/>
      <c r="AN39" s="17"/>
      <c r="AO39" s="17"/>
      <c r="AP39" s="17"/>
      <c r="AQ39" s="17"/>
      <c r="AR39" s="17"/>
      <c r="AS39" s="17"/>
      <c r="AT39" s="17"/>
      <c r="AU39" s="17"/>
      <c r="AV39" s="17"/>
      <c r="AW39" s="17"/>
      <c r="AX39" s="17"/>
      <c r="AY39" s="17"/>
    </row>
    <row r="40" ht="17.45" customHeight="1">
      <c r="A40" s="17"/>
      <c r="B40" s="17"/>
      <c r="C40" s="17"/>
      <c r="D40" s="17"/>
      <c r="E40" s="17"/>
      <c r="F40" s="17"/>
      <c r="G40" s="17"/>
      <c r="H40" s="17"/>
      <c r="I40" s="17"/>
      <c r="J40" s="17"/>
      <c r="K40" s="17"/>
      <c r="L40" s="17"/>
      <c r="M40" s="36"/>
      <c r="N40" s="36"/>
      <c r="O40" s="36"/>
      <c r="P40" s="36"/>
      <c r="Q40" s="17"/>
      <c r="R40" s="36"/>
      <c r="S40" s="36"/>
      <c r="T40" s="17"/>
      <c r="U40" s="36"/>
      <c r="V40" s="17"/>
      <c r="W40" s="17"/>
      <c r="X40" s="17"/>
      <c r="Y40" s="17"/>
      <c r="Z40" s="17"/>
      <c r="AA40" s="17"/>
      <c r="AB40" s="17"/>
      <c r="AC40" s="17"/>
      <c r="AD40" s="17"/>
      <c r="AE40" s="17"/>
      <c r="AF40" s="8"/>
      <c r="AG40" s="17"/>
      <c r="AH40" s="17"/>
      <c r="AI40" s="17"/>
      <c r="AJ40" s="17"/>
      <c r="AK40" s="17"/>
      <c r="AL40" s="17"/>
      <c r="AM40" s="17"/>
      <c r="AN40" s="17"/>
      <c r="AO40" s="17"/>
      <c r="AP40" s="17"/>
      <c r="AQ40" s="17"/>
      <c r="AR40" s="17"/>
      <c r="AS40" s="17"/>
      <c r="AT40" s="17"/>
      <c r="AU40" s="17"/>
      <c r="AV40" s="17"/>
      <c r="AW40" s="17"/>
      <c r="AX40" s="17"/>
      <c r="AY40" s="17"/>
    </row>
    <row r="41" ht="17.45" customHeight="1">
      <c r="A41" s="17"/>
      <c r="B41" s="17"/>
      <c r="C41" s="17"/>
      <c r="D41" s="17"/>
      <c r="E41" s="17"/>
      <c r="F41" s="17"/>
      <c r="G41" s="17"/>
      <c r="H41" s="17"/>
      <c r="I41" s="17"/>
      <c r="J41" s="17"/>
      <c r="K41" s="17"/>
      <c r="L41" s="17"/>
      <c r="M41" s="36"/>
      <c r="N41" s="36"/>
      <c r="O41" s="36"/>
      <c r="P41" s="36"/>
      <c r="Q41" s="17"/>
      <c r="R41" s="36"/>
      <c r="S41" s="36"/>
      <c r="T41" s="17"/>
      <c r="U41" s="36"/>
      <c r="V41" s="17"/>
      <c r="W41" s="17"/>
      <c r="X41" s="17"/>
      <c r="Y41" s="17"/>
      <c r="Z41" s="17"/>
      <c r="AA41" s="17"/>
      <c r="AB41" s="17"/>
      <c r="AC41" s="17"/>
      <c r="AD41" s="17"/>
      <c r="AE41" s="17"/>
      <c r="AF41" s="8"/>
      <c r="AG41" s="17"/>
      <c r="AH41" s="17"/>
      <c r="AI41" s="17"/>
      <c r="AJ41" s="17"/>
      <c r="AK41" s="17"/>
      <c r="AL41" s="17"/>
      <c r="AM41" s="17"/>
      <c r="AN41" s="17"/>
      <c r="AO41" s="17"/>
      <c r="AP41" s="17"/>
      <c r="AQ41" s="17"/>
      <c r="AR41" s="17"/>
      <c r="AS41" s="17"/>
      <c r="AT41" s="17"/>
      <c r="AU41" s="17"/>
      <c r="AV41" s="17"/>
      <c r="AW41" s="17"/>
      <c r="AX41" s="17"/>
      <c r="AY41" s="17"/>
    </row>
    <row r="42" ht="17" customHeight="1">
      <c r="A42" t="s" s="13">
        <v>285</v>
      </c>
      <c r="B42" s="17"/>
      <c r="C42" s="17"/>
      <c r="D42" s="17"/>
      <c r="E42" s="17"/>
      <c r="F42" s="17"/>
      <c r="G42" s="29">
        <f>SUM(G3:G41)</f>
        <v>0</v>
      </c>
      <c r="H42" s="29">
        <f>SUM(H3:H41)</f>
        <v>0</v>
      </c>
      <c r="I42" s="29">
        <f>SUM(I3:I41)</f>
        <v>0</v>
      </c>
      <c r="J42" s="29">
        <f>SUM(J3:J41)</f>
        <v>0</v>
      </c>
      <c r="K42" s="29">
        <f>SUM(K3:K41)</f>
        <v>0</v>
      </c>
      <c r="L42" s="29">
        <f>SUM(L3:L41)</f>
        <v>0</v>
      </c>
      <c r="M42" s="29">
        <f>SUM(M3:M41)</f>
        <v>0</v>
      </c>
      <c r="N42" s="29">
        <f>SUM(N3:N41)</f>
        <v>0</v>
      </c>
      <c r="O42" s="17"/>
      <c r="P42" s="29">
        <f>SUM(P3:P41)</f>
        <v>0</v>
      </c>
      <c r="Q42" s="17">
        <f>SUM(Q3:Q41)</f>
      </c>
      <c r="R42" s="29">
        <f>SUM(R3:R41)</f>
        <v>0</v>
      </c>
      <c r="S42" s="29">
        <f>SUM(S3:S41)</f>
        <v>0</v>
      </c>
      <c r="T42" s="29">
        <f>SUM(T3:T41)</f>
        <v>0</v>
      </c>
      <c r="U42" s="29">
        <f>SUM(U3:U41)</f>
        <v>0</v>
      </c>
      <c r="V42" s="29">
        <f>SUM(V3:V41)</f>
        <v>0</v>
      </c>
      <c r="W42" s="29">
        <f>SUM(W3:W41)</f>
        <v>0</v>
      </c>
      <c r="X42" s="17"/>
      <c r="Y42" s="17"/>
      <c r="Z42" s="29">
        <f>SUM(Z3:Z41)</f>
        <v>0</v>
      </c>
      <c r="AA42" s="29">
        <f>SUM(AA3:AA41)</f>
        <v>0</v>
      </c>
      <c r="AB42" s="29">
        <f>SUM(AB3:AB41)</f>
        <v>0</v>
      </c>
      <c r="AC42" s="29">
        <f>SUM(AC3:AC41)</f>
        <v>0</v>
      </c>
      <c r="AD42" s="29">
        <f>SUM(AD3:AD41)</f>
        <v>0</v>
      </c>
      <c r="AE42" s="17"/>
      <c r="AF42" s="8"/>
      <c r="AG42" s="17"/>
      <c r="AH42" s="17"/>
      <c r="AI42" s="17"/>
      <c r="AJ42" s="17"/>
      <c r="AK42" s="17"/>
      <c r="AL42" s="17"/>
      <c r="AM42" s="17"/>
      <c r="AN42" s="17"/>
      <c r="AO42" s="17"/>
      <c r="AP42" s="17"/>
      <c r="AQ42" s="17"/>
      <c r="AR42" s="17"/>
      <c r="AS42" s="17"/>
      <c r="AT42" s="17"/>
      <c r="AU42" s="17"/>
      <c r="AV42" s="17"/>
      <c r="AW42" s="17"/>
      <c r="AX42" s="17"/>
      <c r="AY42" s="17"/>
    </row>
    <row r="43" ht="17" customHeight="1">
      <c r="A43" s="17"/>
      <c r="B43" s="17"/>
      <c r="C43" s="17"/>
      <c r="D43" s="17"/>
      <c r="E43" s="17"/>
      <c r="F43" s="17"/>
      <c r="G43" s="17"/>
      <c r="H43" s="17"/>
      <c r="I43" s="17"/>
      <c r="J43" s="17"/>
      <c r="K43" s="17"/>
      <c r="L43" s="17"/>
      <c r="M43" s="17"/>
      <c r="N43" s="17"/>
      <c r="O43" s="17"/>
      <c r="P43" s="17"/>
      <c r="Q43" s="78"/>
      <c r="R43" s="17"/>
      <c r="S43" s="17"/>
      <c r="T43" s="17"/>
      <c r="U43" s="17"/>
      <c r="V43" s="17"/>
      <c r="W43" s="17"/>
      <c r="X43" s="17"/>
      <c r="Y43" s="17"/>
      <c r="Z43" s="17"/>
      <c r="AA43" s="17"/>
      <c r="AB43" s="17"/>
      <c r="AC43" s="17"/>
      <c r="AD43" s="17"/>
      <c r="AE43" s="17"/>
      <c r="AF43" s="8"/>
      <c r="AG43" s="17"/>
      <c r="AH43" s="17"/>
      <c r="AI43" s="17"/>
      <c r="AJ43" s="17"/>
      <c r="AK43" s="17"/>
      <c r="AL43" s="17"/>
      <c r="AM43" s="17"/>
      <c r="AN43" s="17"/>
      <c r="AO43" s="17"/>
      <c r="AP43" s="17"/>
      <c r="AQ43" s="17"/>
      <c r="AR43" s="17"/>
      <c r="AS43" s="17"/>
      <c r="AT43" s="17"/>
      <c r="AU43" s="17"/>
      <c r="AV43" s="17"/>
      <c r="AW43" s="17"/>
      <c r="AX43" s="17"/>
      <c r="AY43" s="17"/>
    </row>
    <row r="44" ht="17" customHeight="1">
      <c r="A44" s="17"/>
      <c r="B44" s="17"/>
      <c r="C44" s="17"/>
      <c r="D44" s="17"/>
      <c r="E44" s="17"/>
      <c r="F44" s="17"/>
      <c r="G44" s="79"/>
      <c r="H44" s="79"/>
      <c r="I44" s="79"/>
      <c r="J44" s="17"/>
      <c r="K44" s="17"/>
      <c r="L44" s="17"/>
      <c r="M44" s="17"/>
      <c r="N44" s="17"/>
      <c r="O44" s="17"/>
      <c r="P44" s="17"/>
      <c r="Q44" s="78"/>
      <c r="R44" s="79"/>
      <c r="S44" s="79"/>
      <c r="T44" s="79"/>
      <c r="U44" s="17"/>
      <c r="V44" s="17"/>
      <c r="W44" s="17"/>
      <c r="X44" s="17"/>
      <c r="Y44" s="17"/>
      <c r="Z44" s="17"/>
      <c r="AA44" s="17"/>
      <c r="AB44" s="17"/>
      <c r="AC44" s="17"/>
      <c r="AD44" s="17"/>
      <c r="AE44" s="17"/>
      <c r="AF44" s="8"/>
      <c r="AG44" s="17"/>
      <c r="AH44" s="17"/>
      <c r="AI44" s="17"/>
      <c r="AJ44" s="17"/>
      <c r="AK44" s="17"/>
      <c r="AL44" s="17"/>
      <c r="AM44" s="17"/>
      <c r="AN44" s="17"/>
      <c r="AO44" s="17"/>
      <c r="AP44" s="17"/>
      <c r="AQ44" s="17"/>
      <c r="AR44" s="17"/>
      <c r="AS44" s="17"/>
      <c r="AT44" s="17"/>
      <c r="AU44" s="17"/>
      <c r="AV44" s="17"/>
      <c r="AW44" s="17"/>
      <c r="AX44" s="17"/>
      <c r="AY44" s="17"/>
    </row>
    <row r="45" ht="17.45" customHeight="1">
      <c r="A45" s="17"/>
      <c r="B45" s="17"/>
      <c r="C45" s="17"/>
      <c r="D45" s="17"/>
      <c r="E45" s="17"/>
      <c r="F45" s="17"/>
      <c r="G45" s="17"/>
      <c r="H45" s="17"/>
      <c r="I45" s="17"/>
      <c r="J45" s="17"/>
      <c r="K45" s="17"/>
      <c r="L45" s="17"/>
      <c r="M45" s="17"/>
      <c r="N45" s="17"/>
      <c r="O45" s="17"/>
      <c r="P45" s="17"/>
      <c r="Q45" s="17"/>
      <c r="R45" s="36"/>
      <c r="S45" s="36"/>
      <c r="T45" s="116"/>
      <c r="U45" s="17"/>
      <c r="V45" s="17"/>
      <c r="W45" s="17"/>
      <c r="X45" s="17"/>
      <c r="Y45" s="17"/>
      <c r="Z45" s="17"/>
      <c r="AA45" s="17"/>
      <c r="AB45" s="17"/>
      <c r="AC45" s="17"/>
      <c r="AD45" s="17"/>
      <c r="AE45" s="17"/>
      <c r="AF45" s="8"/>
      <c r="AG45" s="17"/>
      <c r="AH45" s="17"/>
      <c r="AI45" s="17"/>
      <c r="AJ45" s="17"/>
      <c r="AK45" s="17"/>
      <c r="AL45" s="17"/>
      <c r="AM45" s="17"/>
      <c r="AN45" s="17"/>
      <c r="AO45" s="17"/>
      <c r="AP45" s="17"/>
      <c r="AQ45" s="17"/>
      <c r="AR45" s="17"/>
      <c r="AS45" s="17"/>
      <c r="AT45" s="17"/>
      <c r="AU45" s="17"/>
      <c r="AV45" s="17"/>
      <c r="AW45" s="17"/>
      <c r="AX45" s="17"/>
      <c r="AY45" s="17"/>
    </row>
    <row r="46" ht="17" customHeight="1">
      <c r="A46" s="17"/>
      <c r="B46" s="17"/>
      <c r="C46" s="17"/>
      <c r="D46" s="17"/>
      <c r="E46" s="17"/>
      <c r="F46" s="17"/>
      <c r="G46" s="17"/>
      <c r="H46" s="17"/>
      <c r="I46" s="17"/>
      <c r="J46" s="17"/>
      <c r="K46" s="17"/>
      <c r="L46" s="17"/>
      <c r="M46" s="17"/>
      <c r="N46" s="17"/>
      <c r="O46" s="17"/>
      <c r="P46" s="17"/>
      <c r="Q46" s="17"/>
      <c r="R46" s="79"/>
      <c r="S46" s="79"/>
      <c r="T46" s="79"/>
      <c r="U46" s="17"/>
      <c r="V46" s="17"/>
      <c r="W46" s="17"/>
      <c r="X46" s="17"/>
      <c r="Y46" s="17"/>
      <c r="Z46" s="17"/>
      <c r="AA46" s="17"/>
      <c r="AB46" s="17"/>
      <c r="AC46" s="83"/>
      <c r="AD46" s="83"/>
      <c r="AE46" s="17"/>
      <c r="AF46" s="8"/>
      <c r="AG46" s="17"/>
      <c r="AH46" s="17"/>
      <c r="AI46" s="17"/>
      <c r="AJ46" s="17"/>
      <c r="AK46" s="17"/>
      <c r="AL46" s="17"/>
      <c r="AM46" s="17"/>
      <c r="AN46" s="17"/>
      <c r="AO46" s="17"/>
      <c r="AP46" s="17"/>
      <c r="AQ46" s="17"/>
      <c r="AR46" s="17"/>
      <c r="AS46" s="17"/>
      <c r="AT46" s="17"/>
      <c r="AU46" s="17"/>
      <c r="AV46" s="17"/>
      <c r="AW46" s="17"/>
      <c r="AX46" s="17"/>
      <c r="AY46" s="17"/>
    </row>
    <row r="47" ht="17.45" customHeight="1">
      <c r="A47" s="17"/>
      <c r="B47" s="17"/>
      <c r="C47" s="17"/>
      <c r="D47" s="17"/>
      <c r="E47" s="17"/>
      <c r="F47" s="17"/>
      <c r="G47" s="17"/>
      <c r="H47" s="17"/>
      <c r="I47" s="17"/>
      <c r="J47" s="17"/>
      <c r="K47" s="17"/>
      <c r="L47" s="17"/>
      <c r="M47" s="17"/>
      <c r="N47" s="17"/>
      <c r="O47" s="17"/>
      <c r="P47" s="17"/>
      <c r="Q47" s="17"/>
      <c r="R47" s="36"/>
      <c r="S47" s="17"/>
      <c r="T47" s="17"/>
      <c r="U47" s="17"/>
      <c r="V47" s="17"/>
      <c r="W47" s="17"/>
      <c r="X47" s="17"/>
      <c r="Y47" s="17"/>
      <c r="Z47" s="17"/>
      <c r="AA47" s="17"/>
      <c r="AB47" s="17"/>
      <c r="AC47" s="17"/>
      <c r="AD47" s="17"/>
      <c r="AE47" s="17"/>
      <c r="AF47" s="8"/>
      <c r="AG47" s="17"/>
      <c r="AH47" s="17"/>
      <c r="AI47" s="17"/>
      <c r="AJ47" s="17"/>
      <c r="AK47" s="17"/>
      <c r="AL47" s="17"/>
      <c r="AM47" s="17"/>
      <c r="AN47" s="17"/>
      <c r="AO47" s="17"/>
      <c r="AP47" s="17"/>
      <c r="AQ47" s="17"/>
      <c r="AR47" s="17"/>
      <c r="AS47" s="17"/>
      <c r="AT47" s="17"/>
      <c r="AU47" s="17"/>
      <c r="AV47" s="17"/>
      <c r="AW47" s="17"/>
      <c r="AX47" s="17"/>
      <c r="AY47" s="1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